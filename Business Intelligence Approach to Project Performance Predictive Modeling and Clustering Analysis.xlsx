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hus\OneDrive\Desktop\"/>
    </mc:Choice>
  </mc:AlternateContent>
  <xr:revisionPtr revIDLastSave="0" documentId="13_ncr:1_{28F14700-9CFB-4D55-B45E-CA79BF44C5B5}" xr6:coauthVersionLast="47" xr6:coauthVersionMax="47" xr10:uidLastSave="{00000000-0000-0000-0000-000000000000}"/>
  <bookViews>
    <workbookView xWindow="-110" yWindow="-110" windowWidth="25820" windowHeight="15500" firstSheet="4" activeTab="5" xr2:uid="{28EAE387-336D-4678-82B7-9E9E6F9C8D9A}"/>
  </bookViews>
  <sheets>
    <sheet name="Data" sheetId="1" r:id="rId1"/>
    <sheet name="Financial Analysis" sheetId="2" r:id="rId2"/>
    <sheet name="Schedule Performance" sheetId="3" r:id="rId3"/>
    <sheet name="Resource Utilization" sheetId="4" r:id="rId4"/>
    <sheet name="Actual Cost Vs Estimated Cost" sheetId="5" r:id="rId5"/>
    <sheet name="Yearly Trends" sheetId="6" r:id="rId6"/>
    <sheet name="Area Vs Cost Vs Duartion Days" sheetId="7" r:id="rId7"/>
  </sheets>
  <calcPr calcId="191029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6" i="1" l="1"/>
  <c r="F106" i="1"/>
  <c r="R105" i="1"/>
  <c r="F105" i="1"/>
  <c r="R104" i="1"/>
  <c r="F104" i="1"/>
  <c r="R103" i="1"/>
  <c r="F103" i="1"/>
  <c r="R102" i="1"/>
  <c r="F102" i="1"/>
  <c r="R101" i="1"/>
  <c r="F101" i="1"/>
  <c r="R100" i="1"/>
  <c r="F100" i="1"/>
  <c r="R99" i="1"/>
  <c r="F99" i="1"/>
  <c r="R98" i="1"/>
  <c r="F98" i="1"/>
  <c r="R97" i="1"/>
  <c r="F97" i="1"/>
  <c r="R96" i="1"/>
  <c r="F96" i="1"/>
  <c r="R95" i="1"/>
  <c r="F95" i="1"/>
  <c r="R94" i="1"/>
  <c r="F94" i="1"/>
  <c r="R93" i="1"/>
  <c r="F93" i="1"/>
  <c r="R92" i="1"/>
  <c r="F92" i="1"/>
  <c r="R91" i="1"/>
  <c r="F91" i="1"/>
  <c r="R90" i="1"/>
  <c r="F90" i="1"/>
  <c r="R89" i="1"/>
  <c r="F89" i="1"/>
  <c r="R88" i="1"/>
  <c r="F88" i="1"/>
  <c r="R87" i="1"/>
  <c r="F87" i="1"/>
  <c r="R86" i="1"/>
  <c r="F86" i="1"/>
  <c r="R85" i="1"/>
  <c r="F85" i="1"/>
  <c r="R84" i="1"/>
  <c r="F84" i="1"/>
  <c r="R83" i="1"/>
  <c r="F83" i="1"/>
  <c r="R82" i="1"/>
  <c r="F82" i="1"/>
  <c r="R81" i="1"/>
  <c r="F81" i="1"/>
  <c r="R80" i="1"/>
  <c r="F80" i="1"/>
  <c r="R79" i="1"/>
  <c r="F79" i="1"/>
  <c r="R78" i="1"/>
  <c r="F78" i="1"/>
  <c r="R77" i="1"/>
  <c r="F77" i="1"/>
  <c r="R76" i="1"/>
  <c r="F76" i="1"/>
  <c r="R75" i="1"/>
  <c r="F75" i="1"/>
  <c r="R74" i="1"/>
  <c r="F74" i="1"/>
  <c r="R73" i="1"/>
  <c r="F73" i="1"/>
  <c r="R72" i="1"/>
  <c r="F72" i="1"/>
  <c r="R71" i="1"/>
  <c r="F71" i="1"/>
  <c r="R70" i="1"/>
  <c r="F70" i="1"/>
  <c r="R69" i="1"/>
  <c r="F69" i="1"/>
  <c r="R68" i="1"/>
  <c r="F68" i="1"/>
  <c r="R67" i="1"/>
  <c r="F67" i="1"/>
  <c r="R66" i="1"/>
  <c r="F66" i="1"/>
  <c r="R65" i="1"/>
  <c r="F65" i="1"/>
  <c r="R64" i="1"/>
  <c r="F64" i="1"/>
  <c r="R63" i="1"/>
  <c r="F63" i="1"/>
  <c r="R62" i="1"/>
  <c r="F62" i="1"/>
  <c r="R61" i="1"/>
  <c r="F61" i="1"/>
  <c r="R60" i="1"/>
  <c r="F60" i="1"/>
  <c r="R59" i="1"/>
  <c r="F59" i="1"/>
  <c r="R58" i="1"/>
  <c r="F58" i="1"/>
  <c r="R57" i="1"/>
  <c r="F57" i="1"/>
  <c r="R56" i="1"/>
  <c r="F56" i="1"/>
  <c r="R55" i="1"/>
  <c r="F55" i="1"/>
  <c r="R54" i="1"/>
  <c r="F54" i="1"/>
  <c r="R53" i="1"/>
  <c r="F53" i="1"/>
  <c r="R52" i="1"/>
  <c r="F52" i="1"/>
  <c r="R51" i="1"/>
  <c r="F51" i="1"/>
  <c r="R50" i="1"/>
  <c r="F50" i="1"/>
  <c r="R49" i="1"/>
  <c r="F49" i="1"/>
  <c r="R48" i="1"/>
  <c r="F48" i="1"/>
  <c r="R47" i="1"/>
  <c r="F47" i="1"/>
  <c r="R46" i="1"/>
  <c r="F46" i="1"/>
  <c r="R45" i="1"/>
  <c r="F45" i="1"/>
  <c r="R44" i="1"/>
  <c r="F44" i="1"/>
  <c r="R43" i="1"/>
  <c r="F43" i="1"/>
  <c r="R42" i="1"/>
  <c r="F42" i="1"/>
  <c r="R41" i="1"/>
  <c r="F41" i="1"/>
  <c r="R40" i="1"/>
  <c r="F40" i="1"/>
  <c r="R39" i="1"/>
  <c r="F39" i="1"/>
  <c r="R38" i="1"/>
  <c r="F38" i="1"/>
  <c r="R37" i="1"/>
  <c r="F37" i="1"/>
  <c r="R36" i="1"/>
  <c r="F36" i="1"/>
  <c r="R35" i="1"/>
  <c r="F35" i="1"/>
  <c r="R34" i="1"/>
  <c r="F34" i="1"/>
  <c r="R33" i="1"/>
  <c r="F33" i="1"/>
  <c r="R32" i="1"/>
  <c r="F32" i="1"/>
  <c r="R31" i="1"/>
  <c r="F31" i="1"/>
  <c r="R30" i="1"/>
  <c r="F30" i="1"/>
  <c r="R29" i="1"/>
  <c r="F29" i="1"/>
  <c r="R28" i="1"/>
  <c r="F28" i="1"/>
  <c r="R27" i="1"/>
  <c r="F27" i="1"/>
  <c r="R26" i="1"/>
  <c r="F26" i="1"/>
  <c r="R25" i="1"/>
  <c r="F25" i="1"/>
  <c r="R24" i="1"/>
  <c r="F24" i="1"/>
  <c r="R23" i="1"/>
  <c r="F23" i="1"/>
  <c r="R22" i="1"/>
  <c r="F22" i="1"/>
  <c r="R21" i="1"/>
  <c r="F21" i="1"/>
  <c r="R20" i="1"/>
  <c r="F20" i="1"/>
  <c r="R19" i="1"/>
  <c r="F19" i="1"/>
  <c r="R18" i="1"/>
  <c r="F18" i="1"/>
  <c r="R17" i="1"/>
  <c r="F17" i="1"/>
  <c r="R16" i="1"/>
  <c r="F16" i="1"/>
  <c r="R15" i="1"/>
  <c r="F15" i="1"/>
  <c r="R14" i="1"/>
  <c r="F14" i="1"/>
  <c r="R13" i="1"/>
  <c r="F13" i="1"/>
  <c r="R12" i="1"/>
  <c r="F12" i="1"/>
  <c r="R11" i="1"/>
  <c r="F11" i="1"/>
  <c r="R10" i="1"/>
  <c r="F10" i="1"/>
  <c r="R9" i="1"/>
  <c r="F9" i="1"/>
  <c r="R8" i="1"/>
  <c r="F8" i="1"/>
  <c r="R7" i="1"/>
  <c r="F7" i="1"/>
  <c r="R6" i="1"/>
  <c r="F6" i="1"/>
  <c r="R5" i="1"/>
  <c r="F5" i="1"/>
  <c r="R4" i="1"/>
  <c r="F4" i="1"/>
  <c r="R3" i="1"/>
  <c r="F3" i="1"/>
  <c r="R2" i="1"/>
  <c r="F2" i="1"/>
</calcChain>
</file>

<file path=xl/sharedStrings.xml><?xml version="1.0" encoding="utf-8"?>
<sst xmlns="http://schemas.openxmlformats.org/spreadsheetml/2006/main" count="749" uniqueCount="210">
  <si>
    <t>Project ID</t>
  </si>
  <si>
    <t>Location</t>
  </si>
  <si>
    <t>Project Name</t>
  </si>
  <si>
    <t>Project Type</t>
  </si>
  <si>
    <t>Start Date</t>
  </si>
  <si>
    <t>End Date</t>
  </si>
  <si>
    <t>Actual Cost</t>
  </si>
  <si>
    <t>Estimated Duration (days)</t>
  </si>
  <si>
    <t>Actual Duration (days)</t>
  </si>
  <si>
    <t>Number of Workers</t>
  </si>
  <si>
    <t>Materials Cost</t>
  </si>
  <si>
    <t>Labor Cost</t>
  </si>
  <si>
    <t>Equipment Cost</t>
  </si>
  <si>
    <t>Delay Days</t>
  </si>
  <si>
    <t>Contractor</t>
  </si>
  <si>
    <t>Change Orders</t>
  </si>
  <si>
    <t>Budget Overrun (%)</t>
  </si>
  <si>
    <t>Estimated Cost</t>
  </si>
  <si>
    <t>AREA (M2)</t>
  </si>
  <si>
    <t>حدود العمري</t>
  </si>
  <si>
    <t>هنجر تبريد مكتب هيئة الامم لادارة المشاريع UNOPS</t>
  </si>
  <si>
    <t>Steel Structure</t>
  </si>
  <si>
    <t>DSC Steel</t>
  </si>
  <si>
    <t>حدودالعمري</t>
  </si>
  <si>
    <t>برادات  مكتب هيئة الامم لادارة المشاريع UNOPS</t>
  </si>
  <si>
    <t>شركة الركائز للاستثمار</t>
  </si>
  <si>
    <t>اعمال معدنية لقاعة العرض</t>
  </si>
  <si>
    <t>الديوان الملكي العامر</t>
  </si>
  <si>
    <t xml:space="preserve">تصميم و تنفيذ هنجر لمستودعات المشتريات / رغدان </t>
  </si>
  <si>
    <t>شركة المدن الصناعية</t>
  </si>
  <si>
    <t xml:space="preserve">انشاء مصانع نمطيه لمدينة الصناعيه السلط </t>
  </si>
  <si>
    <t xml:space="preserve">هناجر نمطيه المرحله الرابعة  الموقر </t>
  </si>
  <si>
    <t xml:space="preserve">شركة المدن الصناعية </t>
  </si>
  <si>
    <t xml:space="preserve">هناجر نمطيه المرحله السادسة الكرك </t>
  </si>
  <si>
    <t>وزارة الدفاع هيئة الاتصالات الخاصة</t>
  </si>
  <si>
    <t>اعمال شلاتر عدد 6 في عدة مواقع</t>
  </si>
  <si>
    <t>اعمال شلاتر عدد 7 في عدة مواقع</t>
  </si>
  <si>
    <t>شركة حول العالم للصناعات الدوائيه</t>
  </si>
  <si>
    <t xml:space="preserve">الاعمال الانشائية لمصنع حول العالم للصناعات الدوائية </t>
  </si>
  <si>
    <t>القيادة العامة الشركة العربية الدولية</t>
  </si>
  <si>
    <t>اعمال سقف هنجر بريفاب</t>
  </si>
  <si>
    <t>شركة القدس لصناعة الدهانات</t>
  </si>
  <si>
    <t>اعمال مدنية ومعدنية للهنجر وخزانات التجميع</t>
  </si>
  <si>
    <t>اعمال شلتر في مبنى دفاع مدني العقبة</t>
  </si>
  <si>
    <t>قيادة سلاح الجو الملكي</t>
  </si>
  <si>
    <t>اعمال مظلات لاصطفاف الاليات / اعمال مدنية مرحلة اولى</t>
  </si>
  <si>
    <t>اعمال مظلات لاصطفاف الاليات / اعمال معدنية مرحلة اولى</t>
  </si>
  <si>
    <t>اعمال مظلات لاصطفاف الاليات / اعمال معدنية مرحلة ثانية</t>
  </si>
  <si>
    <t>اعمال مظلات لاصطفاف الاليات / اعمال معدنية مرحلة ثالثة</t>
  </si>
  <si>
    <t>اعمال مظلات لاصطفاف الاليات / اعمال معدنية مرحلة رابعة</t>
  </si>
  <si>
    <t xml:space="preserve">شركة البوتاس العربيه </t>
  </si>
  <si>
    <t>اعمال صيانة هاجر و انشاء مظلات IFB # رقم العطاء 202003462</t>
  </si>
  <si>
    <t>شركة صناعات الاسمدة والكيماويات العربية كيمابكو</t>
  </si>
  <si>
    <t>توسعة هناجر مستودعات المواد الخام</t>
  </si>
  <si>
    <t>شركة بن القرشي لصناعات القهوة</t>
  </si>
  <si>
    <t>اعمال هنجر</t>
  </si>
  <si>
    <t>صيانة هناجر مجموعة حرس الشرف</t>
  </si>
  <si>
    <t>اعمال مدنية اضافية</t>
  </si>
  <si>
    <t>غرفة صناعة الزرقاء</t>
  </si>
  <si>
    <t>اعمال التوسعة العامودية للمبنى القائم</t>
  </si>
  <si>
    <t>أعمال صيانة و استبدال صاج مستودع قطع الغيار ) J-6 )</t>
  </si>
  <si>
    <t>انس قاسم محمود الروسان</t>
  </si>
  <si>
    <t>اعمال مبنى مشروع مطعم اربد</t>
  </si>
  <si>
    <t>اعمال مبنى الهيكل الحديد مشروع مطعم اربد</t>
  </si>
  <si>
    <t>محمد محمود ذيب خطاب / شركة مخازن الريحان للتعبئة</t>
  </si>
  <si>
    <t>اعمال المبنى / خلدا</t>
  </si>
  <si>
    <t>شركة الجزيرة الزراعية</t>
  </si>
  <si>
    <t>اعمالهناجر معدنية للبركسات عدد 14</t>
  </si>
  <si>
    <t>شركة البيئة المشرقة للاستدامة والصناعات البلاستيكية</t>
  </si>
  <si>
    <t>اعمال مصانعة االمبنى</t>
  </si>
  <si>
    <t>شركة البارودي لصناعة وتطوير المنتجات البلاستيكية</t>
  </si>
  <si>
    <t>اعمال الهنجر</t>
  </si>
  <si>
    <t>شركة الزينة لتشكيل المعادن</t>
  </si>
  <si>
    <t>مدينة الحسين للشباب</t>
  </si>
  <si>
    <t>قاعة مؤتمرات مدينة الحسين للشباب المقاول الرئيسي الشركه العربيه –الجيش</t>
  </si>
  <si>
    <t>شركة منير سختيان لمواد التجميل</t>
  </si>
  <si>
    <t>مباني معدنيه و مستودعات</t>
  </si>
  <si>
    <t>سلاح الجو الملكي</t>
  </si>
  <si>
    <t>هناجر مظلات F16</t>
  </si>
  <si>
    <t>شركة اسمنت العربيه /القطرانه</t>
  </si>
  <si>
    <t>هنجر مستودع اكياس ورقيه</t>
  </si>
  <si>
    <t>المركز الاعلامي لاتحاد فيفا المقاول الرئيسي الشركه العربيه –الجيش</t>
  </si>
  <si>
    <t>DAMAC</t>
  </si>
  <si>
    <t xml:space="preserve">توسعة ابراج العبدلي </t>
  </si>
  <si>
    <t xml:space="preserve">الشركة الهندية </t>
  </si>
  <si>
    <t>اعمال جريدر</t>
  </si>
  <si>
    <t>شركة الانباط العرب للمقاولات الانشائية</t>
  </si>
  <si>
    <t xml:space="preserve">انشاء صاله رياضيه مدارس الجاليات </t>
  </si>
  <si>
    <t>مظلات معدنية في القصور الملكية</t>
  </si>
  <si>
    <t>شركة مربع الاعمال / الجيم</t>
  </si>
  <si>
    <t>اعمال مظلات</t>
  </si>
  <si>
    <t>شركة محمود الشوحة وشريكه</t>
  </si>
  <si>
    <t xml:space="preserve">اعمال هنجر </t>
  </si>
  <si>
    <t>شركة محمود الفلاحات</t>
  </si>
  <si>
    <t>اعمال ونش</t>
  </si>
  <si>
    <t>جبر نايف العوضي</t>
  </si>
  <si>
    <t>قيادة سلاح الجو الملكي / الانيكس</t>
  </si>
  <si>
    <t>قيادة سلاح الجو الملكي / الذخيرة ــ الغباوي</t>
  </si>
  <si>
    <t>اعمال قاعدة اسمنتية وانشاء مبنى بريفاب</t>
  </si>
  <si>
    <t>شركة محمد السيد /مستشفى الكندي</t>
  </si>
  <si>
    <t xml:space="preserve"> اعمال سدة معدنية </t>
  </si>
  <si>
    <t>شركة النحاتون العرب / كلية القدس اربد</t>
  </si>
  <si>
    <t>ونش مالك ذيابات ــ الرمثا</t>
  </si>
  <si>
    <t>الشركة الهندية / البرج</t>
  </si>
  <si>
    <t>برج معدني</t>
  </si>
  <si>
    <t>الشركة العامة للصناعة والتبريد</t>
  </si>
  <si>
    <t>شركة باب الريان للصناعات البلاستيكية</t>
  </si>
  <si>
    <t>شركة محمد السيد /مستشفى عبدون</t>
  </si>
  <si>
    <t xml:space="preserve">القيادة العامة </t>
  </si>
  <si>
    <t>مصعد الباشا</t>
  </si>
  <si>
    <t>الديوان الملكي الهاشمي</t>
  </si>
  <si>
    <t>اعمال مظلة ولي العهد</t>
  </si>
  <si>
    <t>شركة مزارع سنقرط للدواجن</t>
  </si>
  <si>
    <t>اعمال بركسات مليح</t>
  </si>
  <si>
    <t>شركة المتوج لصناعة الادوية البيطرية</t>
  </si>
  <si>
    <t>مظلة الزرقاء / موسى المعايطة</t>
  </si>
  <si>
    <t>اعمال مظلة معدنية الزرقاء</t>
  </si>
  <si>
    <t>شركة الظاهر للخدمات اللوجستية</t>
  </si>
  <si>
    <t>اعمال السيارات المتنقلة ــ المستشفيات عدد 3</t>
  </si>
  <si>
    <t>اعمال السيارات المتنقلة ــ المستشفيات عدد6</t>
  </si>
  <si>
    <t>شركة آدم للمقولات</t>
  </si>
  <si>
    <t xml:space="preserve">اعمال بريفاب المؤسسة العسكرية </t>
  </si>
  <si>
    <t>شركة غازانيا للطاقة الشمسية</t>
  </si>
  <si>
    <t>اعمال مظلات الطاقة الشمسية جامعة اليرموك</t>
  </si>
  <si>
    <t>شركة انوار العرب للمقاولات</t>
  </si>
  <si>
    <t>اعمال هنجر القطرانة</t>
  </si>
  <si>
    <t>شركة سنقرط للدواجن</t>
  </si>
  <si>
    <t>اعمال هنجر للبركسات</t>
  </si>
  <si>
    <t xml:space="preserve">شركة عدنان الركيبات </t>
  </si>
  <si>
    <t>اعمال معدنية لقاعة الجيم</t>
  </si>
  <si>
    <t>شركة الوليد للصناعت البلاستيكية</t>
  </si>
  <si>
    <t xml:space="preserve"> شركة بن القرشي </t>
  </si>
  <si>
    <t>بن العميد /سايلوهات</t>
  </si>
  <si>
    <t>نورالدين العناتي</t>
  </si>
  <si>
    <t>اعمال مظلة</t>
  </si>
  <si>
    <t>شركة توليد الكهرباء المركزية</t>
  </si>
  <si>
    <t>اعمال صيانة محطة الزرقاء</t>
  </si>
  <si>
    <t>عبدالله محمد ابوعليا</t>
  </si>
  <si>
    <t xml:space="preserve">شركة سليم كتانة </t>
  </si>
  <si>
    <t>اعمال مصانعة صيانة هنجر واعمال مصانعة ونش وعرباية متحركة</t>
  </si>
  <si>
    <t>اعمال صناديق توازن معدنية</t>
  </si>
  <si>
    <t xml:space="preserve">شركة معبر الاردن [ Maonet Civil Engineer] </t>
  </si>
  <si>
    <t xml:space="preserve">شركة مخازن الريحان  </t>
  </si>
  <si>
    <t>اعمال بريفاب طريق المطار</t>
  </si>
  <si>
    <t>شركة بيت التراث والخبرة لصناعة الشوكولاته</t>
  </si>
  <si>
    <t xml:space="preserve">اعمال الهيكل المعدني </t>
  </si>
  <si>
    <t>شركة خالد الشقور وشركاه</t>
  </si>
  <si>
    <t xml:space="preserve">عماد حكمت الخيري </t>
  </si>
  <si>
    <t>محمد عبدالكريم ذيب القبارة</t>
  </si>
  <si>
    <t>شركة البيئة الخضراء</t>
  </si>
  <si>
    <t>هشام النتشة</t>
  </si>
  <si>
    <t>اعمال الهنجر والونش والسايلوهات</t>
  </si>
  <si>
    <t>شركة نمر اللوزي</t>
  </si>
  <si>
    <t>اعمال معدنية برومين الاردن</t>
  </si>
  <si>
    <t>شركة محمد العبويني</t>
  </si>
  <si>
    <t>شركة الجناح الذهبي</t>
  </si>
  <si>
    <t>اعمال الهيكل المعدني مرحلة اولى</t>
  </si>
  <si>
    <t>شركة ابوعودة اخوان / رجم الشامي</t>
  </si>
  <si>
    <t>اعمال سكن العمال والمصلى</t>
  </si>
  <si>
    <t>شركة الضفاف الزراعية</t>
  </si>
  <si>
    <t>شركة الزينة</t>
  </si>
  <si>
    <t xml:space="preserve"> [ تدعيم ] + صاج + مظلة+ ارجاع جسورة</t>
  </si>
  <si>
    <t>شركة عمر حداد وشركاه</t>
  </si>
  <si>
    <t>راس العين/مظلة 27000+6000 توسعة</t>
  </si>
  <si>
    <t>شركة سليمان ذياب النعيمات</t>
  </si>
  <si>
    <t>مؤسسة طارق ابوشهاب للمقاولات</t>
  </si>
  <si>
    <t>اعمال هيكل معدني</t>
  </si>
  <si>
    <t>شركة بن عرب لتجارة المكسرات</t>
  </si>
  <si>
    <t>شركة ايلاف الصناعية لتشكيل المعادن عطا رباح</t>
  </si>
  <si>
    <t>اعمال مظلات معدنية القيادة العامة</t>
  </si>
  <si>
    <t>شركة اسمنت القطرانه</t>
  </si>
  <si>
    <t>اعمال الرافعات الكهربائية [ الونشات ]</t>
  </si>
  <si>
    <t>شركة هوى بغداد للمطاعم السياحية</t>
  </si>
  <si>
    <t>الشركة العربية للتجارة والصناعات الغذائية / الوادي</t>
  </si>
  <si>
    <t>عبدالله ابودية/ الرمثا</t>
  </si>
  <si>
    <t>محمد خليل ابوخضرة / الرقيم</t>
  </si>
  <si>
    <t>شركة الريف للمقاولات / مخلد المجالي مرج الحمام</t>
  </si>
  <si>
    <t>شركة اكتفاء / مشروع جويحان</t>
  </si>
  <si>
    <t>شركة رمز للمقاولات / البستنجي</t>
  </si>
  <si>
    <t>شركة معروف للصناعات الغذائية</t>
  </si>
  <si>
    <t>اعمال الهيكل المعدني مرحلة ثانية</t>
  </si>
  <si>
    <t>اعمل نقل مشاغل الامير فيصل الرئيسية [ اعمال مباني منطقة الضليل ]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</si>
  <si>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</si>
  <si>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</si>
  <si>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</si>
  <si>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</si>
  <si>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</si>
  <si>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</si>
  <si>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</si>
  <si>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</si>
  <si>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</si>
  <si>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</si>
  <si>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</si>
  <si>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</si>
  <si>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</si>
  <si>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Row Labels</t>
  </si>
  <si>
    <t>Average of Actual Cost</t>
  </si>
  <si>
    <t>Average of Estimated Cost</t>
  </si>
  <si>
    <t>Grand Total</t>
  </si>
  <si>
    <t>Average of Actual Duration (days)</t>
  </si>
  <si>
    <t>2017</t>
  </si>
  <si>
    <t>2018</t>
  </si>
  <si>
    <t>2019</t>
  </si>
  <si>
    <t>2020</t>
  </si>
  <si>
    <t>2021</t>
  </si>
  <si>
    <t>2022</t>
  </si>
  <si>
    <t>2023</t>
  </si>
  <si>
    <t>Sum of AREA (M2)</t>
  </si>
  <si>
    <t>Sum of Actual Duration (days)</t>
  </si>
  <si>
    <t>Sum of Actual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</si>
</sst>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10000]yyyy/mm/dd;@"/>
    <numFmt numFmtId="165" formatCode="yyyy\-mm\-dd"/>
    <numFmt numFmtId="166" formatCode="0.000"/>
  </numFmts>
  <fonts count="5" x14ac:knownFonts="1">
    <font>
      <sz val="11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-0.249977111117893"/>
        <bgColor indexed="64"/>
      </patternFill>
    </fill>
  </fills>
  <borders count="12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/>
    <xf numFmtId="0" fontId="1" fillId="2" borderId="3" xfId="0" applyFont="1" applyFill="1" applyBorder="1"/>
    <xf numFmtId="0" fontId="2" fillId="2" borderId="4" xfId="0" applyFont="1" applyFill="1" applyBorder="1" applyAlignment="1">
      <alignment horizontal="center"/>
    </xf>
    <xf numFmtId="0" fontId="2" fillId="0" borderId="5" xfId="0" applyFont="1" applyBorder="1"/>
    <xf numFmtId="164" fontId="2" fillId="0" borderId="5" xfId="0" applyNumberFormat="1" applyFont="1" applyBorder="1"/>
    <xf numFmtId="165" fontId="2" fillId="0" borderId="5" xfId="0" applyNumberFormat="1" applyFont="1" applyBorder="1"/>
    <xf numFmtId="166" fontId="2" fillId="0" borderId="6" xfId="0" applyNumberFormat="1" applyFont="1" applyBorder="1"/>
    <xf numFmtId="0" fontId="2" fillId="0" borderId="2" xfId="0" applyFont="1" applyBorder="1"/>
    <xf numFmtId="2" fontId="2" fillId="0" borderId="5" xfId="0" applyNumberFormat="1" applyFont="1" applyBorder="1"/>
    <xf numFmtId="164" fontId="2" fillId="0" borderId="5" xfId="0" applyNumberFormat="1" applyFont="1" applyBorder="1" applyAlignment="1">
      <alignment vertical="center"/>
    </xf>
    <xf numFmtId="14" fontId="2" fillId="0" borderId="5" xfId="0" applyNumberFormat="1" applyFont="1" applyBorder="1"/>
    <xf numFmtId="0" fontId="2" fillId="2" borderId="7" xfId="0" applyFont="1" applyFill="1" applyBorder="1" applyAlignment="1">
      <alignment horizontal="center"/>
    </xf>
    <xf numFmtId="0" fontId="2" fillId="0" borderId="8" xfId="0" applyFont="1" applyBorder="1"/>
    <xf numFmtId="14" fontId="2" fillId="0" borderId="8" xfId="0" applyNumberFormat="1" applyFont="1" applyBorder="1"/>
    <xf numFmtId="165" fontId="2" fillId="0" borderId="8" xfId="0" applyNumberFormat="1" applyFont="1" applyBorder="1"/>
    <xf numFmtId="166" fontId="2" fillId="0" borderId="9" xfId="0" applyNumberFormat="1" applyFont="1" applyBorder="1"/>
    <xf numFmtId="0" fontId="3" fillId="0" borderId="10" xfId="0" applyFont="1" applyBorder="1" applyAlignment="1">
      <alignment horizontal="centerContinuous"/>
    </xf>
    <xf numFmtId="0" fontId="0" fillId="3" borderId="0" xfId="0" applyFill="1"/>
    <xf numFmtId="0" fontId="0" fillId="0" borderId="11" xfId="0" applyBorder="1"/>
    <xf numFmtId="0" fontId="0" fillId="0" borderId="0" xfId="0" applyAlignment="1">
      <alignment horizontal="left"/>
    </xf>
    <xf numFmtId="0" fontId="0" fillId="0" borderId="0" xfId="0" pivotButton="1"/>
    <xf numFmtId="2" fontId="0" fillId="0" borderId="0" xfId="0" applyNumberFormat="1"/>
    <xf numFmtId="0" fontId="4" fillId="4" borderId="0" xfId="0" applyFont="1" applyFill="1"/>
    <xf numFmtId="0" fontId="4" fillId="4" borderId="0" xfId="0" applyFont="1" applyFill="1" applyAlignment="1">
      <alignment horizontal="left"/>
    </xf>
  </cellXfs>
  <cellStyles count="1">
    <cellStyle name="Normal" xfId="0" builtinId="0"/>
  </cellStyles>
  <dxfs count="40"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6" formatCode="0.00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yyyy\-mm\-dd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9" formatCode="m/d/yy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solid">
          <fgColor indexed="64"/>
          <bgColor theme="2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Average of Actual Cost</c:v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  <c:invertIfNegative val="0"/>
          <c:cat>
            <c:strLit>
              <c:ptCount val="75"/>
              <c:pt idx="0">
                <c:v> [ تدعيم ] + صاج + مظلة+ ارجاع جسورة</c:v>
              </c:pt>
              <c:pt idx="1">
                <c:v> اعمال سدة معدنية </c:v>
              </c:pt>
              <c:pt idx="2">
                <c:v>اعمال التوسعة العامودية للمبنى القائم</c:v>
              </c:pt>
              <c:pt idx="3">
                <c:v>اعمال الرافعات الكهربائية [ الونشات ]</c:v>
              </c:pt>
              <c:pt idx="4">
                <c:v>اعمال السيارات المتنقلة ــ المستشفيات عدد 3</c:v>
              </c:pt>
              <c:pt idx="5">
                <c:v>اعمال السيارات المتنقلة ــ المستشفيات عدد6</c:v>
              </c:pt>
              <c:pt idx="6">
                <c:v>اعمال المبنى / خلدا</c:v>
              </c:pt>
              <c:pt idx="7">
                <c:v>اعمال الهنجر</c:v>
              </c:pt>
              <c:pt idx="8">
                <c:v>اعمال الهنجر والونش والسايلوهات</c:v>
              </c:pt>
              <c:pt idx="9">
                <c:v>اعمال الهيكل المعدني </c:v>
              </c:pt>
              <c:pt idx="10">
                <c:v>اعمال الهيكل المعدني مرحلة اولى</c:v>
              </c:pt>
              <c:pt idx="11">
                <c:v>اعمال الهيكل المعدني مرحلة ثانية</c:v>
              </c:pt>
              <c:pt idx="12">
                <c:v>اعمال بركسات مليح</c:v>
              </c:pt>
              <c:pt idx="13">
                <c:v>اعمال بريفاب المؤسسة العسكرية </c:v>
              </c:pt>
              <c:pt idx="14">
                <c:v>اعمال بريفاب طريق المطار</c:v>
              </c:pt>
              <c:pt idx="15">
                <c:v>اعمال جريدر</c:v>
              </c:pt>
              <c:pt idx="16">
                <c:v>اعمال سقف هنجر بريفاب</c:v>
              </c:pt>
              <c:pt idx="17">
                <c:v>اعمال سكن العمال والمصلى</c:v>
              </c:pt>
              <c:pt idx="18">
                <c:v>اعمال شلاتر عدد 6 في عدة مواقع</c:v>
              </c:pt>
              <c:pt idx="19">
                <c:v>اعمال شلاتر عدد 7 في عدة مواقع</c:v>
              </c:pt>
              <c:pt idx="20">
                <c:v>اعمال شلتر في مبنى دفاع مدني العقبة</c:v>
              </c:pt>
              <c:pt idx="21">
                <c:v>اعمال صناديق توازن معدنية</c:v>
              </c:pt>
              <c:pt idx="22">
                <c:v>اعمال صيانة محطة الزرقاء</c:v>
              </c:pt>
              <c:pt idx="23">
                <c:v>اعمال صيانة هاجر و انشاء مظلات IFB # رقم العطاء 202003462</c:v>
              </c:pt>
              <c:pt idx="24">
                <c:v>أعمال صيانة و استبدال صاج مستودع قطع الغيار ) J-6 )</c:v>
              </c:pt>
              <c:pt idx="25">
                <c:v>اعمال قاعدة اسمنتية وانشاء مبنى بريفاب</c:v>
              </c:pt>
              <c:pt idx="26">
                <c:v>اعمال مبنى الهيكل الحديد مشروع مطعم اربد</c:v>
              </c:pt>
              <c:pt idx="27">
                <c:v>اعمال مبنى مشروع مطعم اربد</c:v>
              </c:pt>
              <c:pt idx="28">
                <c:v>اعمال مدنية اضافية</c:v>
              </c:pt>
              <c:pt idx="29">
                <c:v>اعمال مدنية ومعدنية للهنجر وخزانات التجميع</c:v>
              </c:pt>
              <c:pt idx="30">
                <c:v>اعمال مصانعة االمبنى</c:v>
              </c:pt>
              <c:pt idx="31">
                <c:v>اعمال مصانعة صيانة هنجر واعمال مصانعة ونش وعرباية متحركة</c:v>
              </c:pt>
              <c:pt idx="32">
                <c:v>اعمال مظلات</c:v>
              </c:pt>
              <c:pt idx="33">
                <c:v>اعمال مظلات الطاقة الشمسية جامعة اليرموك</c:v>
              </c:pt>
              <c:pt idx="34">
                <c:v>اعمال مظلات لاصطفاف الاليات / اعمال مدنية مرحلة اولى</c:v>
              </c:pt>
              <c:pt idx="35">
                <c:v>اعمال مظلات لاصطفاف الاليات / اعمال معدنية مرحلة اولى</c:v>
              </c:pt>
              <c:pt idx="36">
                <c:v>اعمال مظلات لاصطفاف الاليات / اعمال معدنية مرحلة ثالثة</c:v>
              </c:pt>
              <c:pt idx="37">
                <c:v>اعمال مظلات لاصطفاف الاليات / اعمال معدنية مرحلة ثانية</c:v>
              </c:pt>
              <c:pt idx="38">
                <c:v>اعمال مظلات لاصطفاف الاليات / اعمال معدنية مرحلة رابعة</c:v>
              </c:pt>
              <c:pt idx="39">
                <c:v>اعمال مظلات معدنية القيادة العامة</c:v>
              </c:pt>
              <c:pt idx="40">
                <c:v>اعمال مظلة</c:v>
              </c:pt>
              <c:pt idx="41">
                <c:v>اعمال مظلة معدنية الزرقاء</c:v>
              </c:pt>
              <c:pt idx="42">
                <c:v>اعمال مظلة ولي العهد</c:v>
              </c:pt>
              <c:pt idx="43">
                <c:v>اعمال معدنية برومين الاردن</c:v>
              </c:pt>
              <c:pt idx="44">
                <c:v>اعمال معدنية لقاعة الجيم</c:v>
              </c:pt>
              <c:pt idx="45">
                <c:v>اعمال معدنية لقاعة العرض</c:v>
              </c:pt>
              <c:pt idx="46">
                <c:v>اعمال هنجر</c:v>
              </c:pt>
              <c:pt idx="47">
                <c:v>اعمال هنجر </c:v>
              </c:pt>
              <c:pt idx="48">
                <c:v>اعمال هنجر القطرانة</c:v>
              </c:pt>
              <c:pt idx="49">
                <c:v>اعمال هنجر للبركسات</c:v>
              </c:pt>
              <c:pt idx="50">
                <c:v>اعمال هيكل معدني</c:v>
              </c:pt>
              <c:pt idx="51">
                <c:v>اعمال ونش</c:v>
              </c:pt>
              <c:pt idx="52">
                <c:v>اعمالهناجر معدنية للبركسات عدد 14</c:v>
              </c:pt>
              <c:pt idx="53">
                <c:v>اعمل نقل مشاغل الامير فيصل الرئيسية [ اعمال مباني منطقة الضليل ]</c:v>
              </c:pt>
              <c:pt idx="54">
                <c:v>الاعمال الانشائية لمصنع حول العالم للصناعات الدوائية </c:v>
              </c:pt>
              <c:pt idx="55">
                <c:v>المركز الاعلامي لاتحاد فيفا المقاول الرئيسي الشركه العربيه –الجيش</c:v>
              </c:pt>
              <c:pt idx="56">
                <c:v>انشاء صاله رياضيه مدارس الجاليات </c:v>
              </c:pt>
              <c:pt idx="57">
                <c:v>انشاء مصانع نمطيه لمدينة الصناعيه السلط </c:v>
              </c:pt>
              <c:pt idx="58">
                <c:v>برادات  مكتب هيئة الامم لادارة المشاريع UNOPS</c:v>
              </c:pt>
              <c:pt idx="59">
                <c:v>برج معدني</c:v>
              </c:pt>
              <c:pt idx="60">
                <c:v>بن العميد /سايلوهات</c:v>
              </c:pt>
              <c:pt idx="61">
                <c:v>تصميم و تنفيذ هنجر لمستودعات المشتريات / رغدان </c:v>
              </c:pt>
              <c:pt idx="62">
                <c:v>توسعة ابراج العبدلي </c:v>
              </c:pt>
              <c:pt idx="63">
                <c:v>توسعة هناجر مستودعات المواد الخام</c:v>
              </c:pt>
              <c:pt idx="64">
                <c:v>راس العين/مظلة 27000+6000 توسعة</c:v>
              </c:pt>
              <c:pt idx="65">
                <c:v>صيانة هناجر مجموعة حرس الشرف</c:v>
              </c:pt>
              <c:pt idx="66">
                <c:v>قاعة مؤتمرات مدينة الحسين للشباب المقاول الرئيسي الشركه العربيه –الجيش</c:v>
              </c:pt>
              <c:pt idx="67">
                <c:v>مباني معدنيه و مستودعات</c:v>
              </c:pt>
              <c:pt idx="68">
                <c:v>مصعد الباشا</c:v>
              </c:pt>
              <c:pt idx="69">
                <c:v>مظلات معدنية في القصور الملكية</c:v>
              </c:pt>
              <c:pt idx="70">
                <c:v>هناجر مظلات F16</c:v>
              </c:pt>
              <c:pt idx="71">
                <c:v>هناجر نمطيه المرحله الرابعة  الموقر </c:v>
              </c:pt>
              <c:pt idx="72">
                <c:v>هناجر نمطيه المرحله السادسة الكرك </c:v>
              </c:pt>
              <c:pt idx="73">
                <c:v>هنجر تبريد مكتب هيئة الامم لادارة المشاريع UNOPS</c:v>
              </c:pt>
              <c:pt idx="74">
                <c:v>هنجر مستودع اكياس ورقيه</c:v>
              </c:pt>
            </c:strLit>
          </c:cat>
          <c:val>
            <c:numLit>
              <c:formatCode>General</c:formatCode>
              <c:ptCount val="75"/>
              <c:pt idx="0">
                <c:v>12200</c:v>
              </c:pt>
              <c:pt idx="1">
                <c:v>17102.142857142859</c:v>
              </c:pt>
              <c:pt idx="2">
                <c:v>550000</c:v>
              </c:pt>
              <c:pt idx="3">
                <c:v>115000</c:v>
              </c:pt>
              <c:pt idx="4">
                <c:v>360000</c:v>
              </c:pt>
              <c:pt idx="5">
                <c:v>720000</c:v>
              </c:pt>
              <c:pt idx="6">
                <c:v>23000</c:v>
              </c:pt>
              <c:pt idx="7">
                <c:v>166920</c:v>
              </c:pt>
              <c:pt idx="8">
                <c:v>126000</c:v>
              </c:pt>
              <c:pt idx="9">
                <c:v>150000</c:v>
              </c:pt>
              <c:pt idx="10">
                <c:v>58000</c:v>
              </c:pt>
              <c:pt idx="11">
                <c:v>95000</c:v>
              </c:pt>
              <c:pt idx="12">
                <c:v>25720</c:v>
              </c:pt>
              <c:pt idx="13">
                <c:v>130000</c:v>
              </c:pt>
              <c:pt idx="14">
                <c:v>16000</c:v>
              </c:pt>
              <c:pt idx="15">
                <c:v>53912</c:v>
              </c:pt>
              <c:pt idx="16">
                <c:v>6600</c:v>
              </c:pt>
              <c:pt idx="17">
                <c:v>102000</c:v>
              </c:pt>
              <c:pt idx="18">
                <c:v>49970</c:v>
              </c:pt>
              <c:pt idx="19">
                <c:v>49875</c:v>
              </c:pt>
              <c:pt idx="20">
                <c:v>9500</c:v>
              </c:pt>
              <c:pt idx="21">
                <c:v>17780</c:v>
              </c:pt>
              <c:pt idx="22">
                <c:v>30715</c:v>
              </c:pt>
              <c:pt idx="23">
                <c:v>249865</c:v>
              </c:pt>
              <c:pt idx="24">
                <c:v>237526</c:v>
              </c:pt>
              <c:pt idx="25">
                <c:v>47112</c:v>
              </c:pt>
              <c:pt idx="26">
                <c:v>68935</c:v>
              </c:pt>
              <c:pt idx="27">
                <c:v>100470</c:v>
              </c:pt>
              <c:pt idx="28">
                <c:v>36880</c:v>
              </c:pt>
              <c:pt idx="29">
                <c:v>60000</c:v>
              </c:pt>
              <c:pt idx="30">
                <c:v>119447.5</c:v>
              </c:pt>
              <c:pt idx="31">
                <c:v>27950</c:v>
              </c:pt>
              <c:pt idx="32">
                <c:v>74000</c:v>
              </c:pt>
              <c:pt idx="33">
                <c:v>285935</c:v>
              </c:pt>
              <c:pt idx="34">
                <c:v>9000</c:v>
              </c:pt>
              <c:pt idx="35">
                <c:v>10000</c:v>
              </c:pt>
              <c:pt idx="36">
                <c:v>10000</c:v>
              </c:pt>
              <c:pt idx="37">
                <c:v>10000</c:v>
              </c:pt>
              <c:pt idx="38">
                <c:v>8000</c:v>
              </c:pt>
              <c:pt idx="39">
                <c:v>31912</c:v>
              </c:pt>
              <c:pt idx="40">
                <c:v>13000</c:v>
              </c:pt>
              <c:pt idx="41">
                <c:v>12000</c:v>
              </c:pt>
              <c:pt idx="42">
                <c:v>17957</c:v>
              </c:pt>
              <c:pt idx="43">
                <c:v>41000</c:v>
              </c:pt>
              <c:pt idx="44">
                <c:v>75213</c:v>
              </c:pt>
              <c:pt idx="45">
                <c:v>86500</c:v>
              </c:pt>
              <c:pt idx="46">
                <c:v>120000</c:v>
              </c:pt>
              <c:pt idx="47">
                <c:v>64639.555555555555</c:v>
              </c:pt>
              <c:pt idx="48">
                <c:v>80000</c:v>
              </c:pt>
              <c:pt idx="49">
                <c:v>113000</c:v>
              </c:pt>
              <c:pt idx="50">
                <c:v>52000</c:v>
              </c:pt>
              <c:pt idx="51">
                <c:v>23500</c:v>
              </c:pt>
              <c:pt idx="52">
                <c:v>960000</c:v>
              </c:pt>
              <c:pt idx="53">
                <c:v>2175000</c:v>
              </c:pt>
              <c:pt idx="54">
                <c:v>120000</c:v>
              </c:pt>
              <c:pt idx="55">
                <c:v>40000</c:v>
              </c:pt>
              <c:pt idx="56">
                <c:v>348550</c:v>
              </c:pt>
              <c:pt idx="57">
                <c:v>466900</c:v>
              </c:pt>
              <c:pt idx="58">
                <c:v>187923</c:v>
              </c:pt>
              <c:pt idx="59">
                <c:v>4466</c:v>
              </c:pt>
              <c:pt idx="60">
                <c:v>36000</c:v>
              </c:pt>
              <c:pt idx="61">
                <c:v>47000</c:v>
              </c:pt>
              <c:pt idx="62">
                <c:v>250000</c:v>
              </c:pt>
              <c:pt idx="63">
                <c:v>105609</c:v>
              </c:pt>
              <c:pt idx="64">
                <c:v>33000</c:v>
              </c:pt>
              <c:pt idx="65">
                <c:v>46485</c:v>
              </c:pt>
              <c:pt idx="66">
                <c:v>45000</c:v>
              </c:pt>
              <c:pt idx="67">
                <c:v>90000</c:v>
              </c:pt>
              <c:pt idx="68">
                <c:v>17000</c:v>
              </c:pt>
              <c:pt idx="69">
                <c:v>51000</c:v>
              </c:pt>
              <c:pt idx="70">
                <c:v>15000</c:v>
              </c:pt>
              <c:pt idx="71">
                <c:v>1120000</c:v>
              </c:pt>
              <c:pt idx="72">
                <c:v>1130000</c:v>
              </c:pt>
              <c:pt idx="73">
                <c:v>152794</c:v>
              </c:pt>
              <c:pt idx="74">
                <c:v>178000</c:v>
              </c:pt>
            </c:numLit>
          </c:val>
          <c:extLst>
            <c:ext xmlns:c16="http://schemas.microsoft.com/office/drawing/2014/chart" uri="{C3380CC4-5D6E-409C-BE32-E72D297353CC}">
              <c16:uniqueId val="{00000000-EF15-4380-BDCF-3388A3C8FD16}"/>
            </c:ext>
          </c:extLst>
        </c:ser>
        <c:ser>
          <c:idx val="1"/>
          <c:order val="1"/>
          <c:tx>
            <c:v>Average of Estimated Cost</c:v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  <c:invertIfNegative val="0"/>
          <c:cat>
            <c:strLit>
              <c:ptCount val="75"/>
              <c:pt idx="0">
                <c:v> [ تدعيم ] + صاج + مظلة+ ارجاع جسورة</c:v>
              </c:pt>
              <c:pt idx="1">
                <c:v> اعمال سدة معدنية </c:v>
              </c:pt>
              <c:pt idx="2">
                <c:v>اعمال التوسعة العامودية للمبنى القائم</c:v>
              </c:pt>
              <c:pt idx="3">
                <c:v>اعمال الرافعات الكهربائية [ الونشات ]</c:v>
              </c:pt>
              <c:pt idx="4">
                <c:v>اعمال السيارات المتنقلة ــ المستشفيات عدد 3</c:v>
              </c:pt>
              <c:pt idx="5">
                <c:v>اعمال السيارات المتنقلة ــ المستشفيات عدد6</c:v>
              </c:pt>
              <c:pt idx="6">
                <c:v>اعمال المبنى / خلدا</c:v>
              </c:pt>
              <c:pt idx="7">
                <c:v>اعمال الهنجر</c:v>
              </c:pt>
              <c:pt idx="8">
                <c:v>اعمال الهنجر والونش والسايلوهات</c:v>
              </c:pt>
              <c:pt idx="9">
                <c:v>اعمال الهيكل المعدني </c:v>
              </c:pt>
              <c:pt idx="10">
                <c:v>اعمال الهيكل المعدني مرحلة اولى</c:v>
              </c:pt>
              <c:pt idx="11">
                <c:v>اعمال الهيكل المعدني مرحلة ثانية</c:v>
              </c:pt>
              <c:pt idx="12">
                <c:v>اعمال بركسات مليح</c:v>
              </c:pt>
              <c:pt idx="13">
                <c:v>اعمال بريفاب المؤسسة العسكرية </c:v>
              </c:pt>
              <c:pt idx="14">
                <c:v>اعمال بريفاب طريق المطار</c:v>
              </c:pt>
              <c:pt idx="15">
                <c:v>اعمال جريدر</c:v>
              </c:pt>
              <c:pt idx="16">
                <c:v>اعمال سقف هنجر بريفاب</c:v>
              </c:pt>
              <c:pt idx="17">
                <c:v>اعمال سكن العمال والمصلى</c:v>
              </c:pt>
              <c:pt idx="18">
                <c:v>اعمال شلاتر عدد 6 في عدة مواقع</c:v>
              </c:pt>
              <c:pt idx="19">
                <c:v>اعمال شلاتر عدد 7 في عدة مواقع</c:v>
              </c:pt>
              <c:pt idx="20">
                <c:v>اعمال شلتر في مبنى دفاع مدني العقبة</c:v>
              </c:pt>
              <c:pt idx="21">
                <c:v>اعمال صناديق توازن معدنية</c:v>
              </c:pt>
              <c:pt idx="22">
                <c:v>اعمال صيانة محطة الزرقاء</c:v>
              </c:pt>
              <c:pt idx="23">
                <c:v>اعمال صيانة هاجر و انشاء مظلات IFB # رقم العطاء 202003462</c:v>
              </c:pt>
              <c:pt idx="24">
                <c:v>أعمال صيانة و استبدال صاج مستودع قطع الغيار ) J-6 )</c:v>
              </c:pt>
              <c:pt idx="25">
                <c:v>اعمال قاعدة اسمنتية وانشاء مبنى بريفاب</c:v>
              </c:pt>
              <c:pt idx="26">
                <c:v>اعمال مبنى الهيكل الحديد مشروع مطعم اربد</c:v>
              </c:pt>
              <c:pt idx="27">
                <c:v>اعمال مبنى مشروع مطعم اربد</c:v>
              </c:pt>
              <c:pt idx="28">
                <c:v>اعمال مدنية اضافية</c:v>
              </c:pt>
              <c:pt idx="29">
                <c:v>اعمال مدنية ومعدنية للهنجر وخزانات التجميع</c:v>
              </c:pt>
              <c:pt idx="30">
                <c:v>اعمال مصانعة االمبنى</c:v>
              </c:pt>
              <c:pt idx="31">
                <c:v>اعمال مصانعة صيانة هنجر واعمال مصانعة ونش وعرباية متحركة</c:v>
              </c:pt>
              <c:pt idx="32">
                <c:v>اعمال مظلات</c:v>
              </c:pt>
              <c:pt idx="33">
                <c:v>اعمال مظلات الطاقة الشمسية جامعة اليرموك</c:v>
              </c:pt>
              <c:pt idx="34">
                <c:v>اعمال مظلات لاصطفاف الاليات / اعمال مدنية مرحلة اولى</c:v>
              </c:pt>
              <c:pt idx="35">
                <c:v>اعمال مظلات لاصطفاف الاليات / اعمال معدنية مرحلة اولى</c:v>
              </c:pt>
              <c:pt idx="36">
                <c:v>اعمال مظلات لاصطفاف الاليات / اعمال معدنية مرحلة ثالثة</c:v>
              </c:pt>
              <c:pt idx="37">
                <c:v>اعمال مظلات لاصطفاف الاليات / اعمال معدنية مرحلة ثانية</c:v>
              </c:pt>
              <c:pt idx="38">
                <c:v>اعمال مظلات لاصطفاف الاليات / اعمال معدنية مرحلة رابعة</c:v>
              </c:pt>
              <c:pt idx="39">
                <c:v>اعمال مظلات معدنية القيادة العامة</c:v>
              </c:pt>
              <c:pt idx="40">
                <c:v>اعمال مظلة</c:v>
              </c:pt>
              <c:pt idx="41">
                <c:v>اعمال مظلة معدنية الزرقاء</c:v>
              </c:pt>
              <c:pt idx="42">
                <c:v>اعمال مظلة ولي العهد</c:v>
              </c:pt>
              <c:pt idx="43">
                <c:v>اعمال معدنية برومين الاردن</c:v>
              </c:pt>
              <c:pt idx="44">
                <c:v>اعمال معدنية لقاعة الجيم</c:v>
              </c:pt>
              <c:pt idx="45">
                <c:v>اعمال معدنية لقاعة العرض</c:v>
              </c:pt>
              <c:pt idx="46">
                <c:v>اعمال هنجر</c:v>
              </c:pt>
              <c:pt idx="47">
                <c:v>اعمال هنجر </c:v>
              </c:pt>
              <c:pt idx="48">
                <c:v>اعمال هنجر القطرانة</c:v>
              </c:pt>
              <c:pt idx="49">
                <c:v>اعمال هنجر للبركسات</c:v>
              </c:pt>
              <c:pt idx="50">
                <c:v>اعمال هيكل معدني</c:v>
              </c:pt>
              <c:pt idx="51">
                <c:v>اعمال ونش</c:v>
              </c:pt>
              <c:pt idx="52">
                <c:v>اعمالهناجر معدنية للبركسات عدد 14</c:v>
              </c:pt>
              <c:pt idx="53">
                <c:v>اعمل نقل مشاغل الامير فيصل الرئيسية [ اعمال مباني منطقة الضليل ]</c:v>
              </c:pt>
              <c:pt idx="54">
                <c:v>الاعمال الانشائية لمصنع حول العالم للصناعات الدوائية </c:v>
              </c:pt>
              <c:pt idx="55">
                <c:v>المركز الاعلامي لاتحاد فيفا المقاول الرئيسي الشركه العربيه –الجيش</c:v>
              </c:pt>
              <c:pt idx="56">
                <c:v>انشاء صاله رياضيه مدارس الجاليات </c:v>
              </c:pt>
              <c:pt idx="57">
                <c:v>انشاء مصانع نمطيه لمدينة الصناعيه السلط </c:v>
              </c:pt>
              <c:pt idx="58">
                <c:v>برادات  مكتب هيئة الامم لادارة المشاريع UNOPS</c:v>
              </c:pt>
              <c:pt idx="59">
                <c:v>برج معدني</c:v>
              </c:pt>
              <c:pt idx="60">
                <c:v>بن العميد /سايلوهات</c:v>
              </c:pt>
              <c:pt idx="61">
                <c:v>تصميم و تنفيذ هنجر لمستودعات المشتريات / رغدان </c:v>
              </c:pt>
              <c:pt idx="62">
                <c:v>توسعة ابراج العبدلي </c:v>
              </c:pt>
              <c:pt idx="63">
                <c:v>توسعة هناجر مستودعات المواد الخام</c:v>
              </c:pt>
              <c:pt idx="64">
                <c:v>راس العين/مظلة 27000+6000 توسعة</c:v>
              </c:pt>
              <c:pt idx="65">
                <c:v>صيانة هناجر مجموعة حرس الشرف</c:v>
              </c:pt>
              <c:pt idx="66">
                <c:v>قاعة مؤتمرات مدينة الحسين للشباب المقاول الرئيسي الشركه العربيه –الجيش</c:v>
              </c:pt>
              <c:pt idx="67">
                <c:v>مباني معدنيه و مستودعات</c:v>
              </c:pt>
              <c:pt idx="68">
                <c:v>مصعد الباشا</c:v>
              </c:pt>
              <c:pt idx="69">
                <c:v>مظلات معدنية في القصور الملكية</c:v>
              </c:pt>
              <c:pt idx="70">
                <c:v>هناجر مظلات F16</c:v>
              </c:pt>
              <c:pt idx="71">
                <c:v>هناجر نمطيه المرحله الرابعة  الموقر </c:v>
              </c:pt>
              <c:pt idx="72">
                <c:v>هناجر نمطيه المرحله السادسة الكرك </c:v>
              </c:pt>
              <c:pt idx="73">
                <c:v>هنجر تبريد مكتب هيئة الامم لادارة المشاريع UNOPS</c:v>
              </c:pt>
              <c:pt idx="74">
                <c:v>هنجر مستودع اكياس ورقيه</c:v>
              </c:pt>
            </c:strLit>
          </c:cat>
          <c:val>
            <c:numLit>
              <c:formatCode>General</c:formatCode>
              <c:ptCount val="75"/>
              <c:pt idx="0">
                <c:v>10240.814641530204</c:v>
              </c:pt>
              <c:pt idx="1">
                <c:v>14653.383774531494</c:v>
              </c:pt>
              <c:pt idx="2">
                <c:v>485320.07059201028</c:v>
              </c:pt>
              <c:pt idx="3">
                <c:v>105210.81941129673</c:v>
              </c:pt>
              <c:pt idx="4">
                <c:v>317647.0588235294</c:v>
              </c:pt>
              <c:pt idx="5">
                <c:v>613636.36363636365</c:v>
              </c:pt>
              <c:pt idx="6">
                <c:v>19628.942486085343</c:v>
              </c:pt>
              <c:pt idx="7">
                <c:v>151388.63260760382</c:v>
              </c:pt>
              <c:pt idx="8">
                <c:v>107415.42625169148</c:v>
              </c:pt>
              <c:pt idx="9">
                <c:v>135157.99854998078</c:v>
              </c:pt>
              <c:pt idx="10">
                <c:v>50291.523396621327</c:v>
              </c:pt>
              <c:pt idx="11">
                <c:v>86116.412213740463</c:v>
              </c:pt>
              <c:pt idx="12">
                <c:v>22705.126444987505</c:v>
              </c:pt>
              <c:pt idx="13">
                <c:v>117852.16178521617</c:v>
              </c:pt>
              <c:pt idx="14">
                <c:v>13653.333333333334</c:v>
              </c:pt>
              <c:pt idx="15">
                <c:v>47579.026164256371</c:v>
              </c:pt>
              <c:pt idx="16">
                <c:v>5791.0130284498809</c:v>
              </c:pt>
              <c:pt idx="17">
                <c:v>94179.415225853169</c:v>
              </c:pt>
              <c:pt idx="18">
                <c:v>42600.759204285663</c:v>
              </c:pt>
              <c:pt idx="19">
                <c:v>47821.894600245112</c:v>
              </c:pt>
              <c:pt idx="20">
                <c:v>8061.6346583296126</c:v>
              </c:pt>
              <c:pt idx="21">
                <c:v>16136.080116785935</c:v>
              </c:pt>
              <c:pt idx="22">
                <c:v>27863.802297540165</c:v>
              </c:pt>
              <c:pt idx="23">
                <c:v>212979.95560111621</c:v>
              </c:pt>
              <c:pt idx="24">
                <c:v>202448.53501420259</c:v>
              </c:pt>
              <c:pt idx="25">
                <c:v>42735.609443521091</c:v>
              </c:pt>
              <c:pt idx="26">
                <c:v>60834.136320226949</c:v>
              </c:pt>
              <c:pt idx="27">
                <c:v>91077.512539350413</c:v>
              </c:pt>
              <c:pt idx="28">
                <c:v>33439.56886887084</c:v>
              </c:pt>
              <c:pt idx="29">
                <c:v>56426.332288401245</c:v>
              </c:pt>
              <c:pt idx="30">
                <c:v>106491.41896759026</c:v>
              </c:pt>
              <c:pt idx="31">
                <c:v>23824.412930771578</c:v>
              </c:pt>
              <c:pt idx="32">
                <c:v>65314.885496183211</c:v>
              </c:pt>
              <c:pt idx="33">
                <c:v>252315.10531591377</c:v>
              </c:pt>
              <c:pt idx="34">
                <c:v>8472.8033472803345</c:v>
              </c:pt>
              <c:pt idx="35">
                <c:v>9615.3846153846152</c:v>
              </c:pt>
              <c:pt idx="36">
                <c:v>8695.652173913044</c:v>
              </c:pt>
              <c:pt idx="37">
                <c:v>8547.0085470085469</c:v>
              </c:pt>
              <c:pt idx="38">
                <c:v>7025.2469813391881</c:v>
              </c:pt>
              <c:pt idx="39">
                <c:v>27233.375692617079</c:v>
              </c:pt>
              <c:pt idx="40">
                <c:v>11081.967213114754</c:v>
              </c:pt>
              <c:pt idx="41">
                <c:v>10900.832702498108</c:v>
              </c:pt>
              <c:pt idx="42">
                <c:v>16292.61629161338</c:v>
              </c:pt>
              <c:pt idx="43">
                <c:v>37165.598054388684</c:v>
              </c:pt>
              <c:pt idx="44">
                <c:v>66398.934904811293</c:v>
              </c:pt>
              <c:pt idx="45">
                <c:v>76357.281355240339</c:v>
              </c:pt>
              <c:pt idx="46">
                <c:v>101408.45070422535</c:v>
              </c:pt>
              <c:pt idx="47">
                <c:v>56079.450264790677</c:v>
              </c:pt>
              <c:pt idx="48">
                <c:v>68193.926478423018</c:v>
              </c:pt>
              <c:pt idx="49">
                <c:v>102447.04749679076</c:v>
              </c:pt>
              <c:pt idx="50">
                <c:v>43222.506393861891</c:v>
              </c:pt>
              <c:pt idx="51">
                <c:v>21318.278324647752</c:v>
              </c:pt>
              <c:pt idx="52">
                <c:v>870090.63444108749</c:v>
              </c:pt>
              <c:pt idx="53">
                <c:v>1919117.6470588236</c:v>
              </c:pt>
              <c:pt idx="54">
                <c:v>106824.92581602374</c:v>
              </c:pt>
              <c:pt idx="55">
                <c:v>34115.13859275054</c:v>
              </c:pt>
              <c:pt idx="56">
                <c:v>297063.53310837247</c:v>
              </c:pt>
              <c:pt idx="57">
                <c:v>435042.82663792936</c:v>
              </c:pt>
              <c:pt idx="58">
                <c:v>170354.77360456789</c:v>
              </c:pt>
              <c:pt idx="59">
                <c:v>3964.7983524697052</c:v>
              </c:pt>
              <c:pt idx="60">
                <c:v>32661.290322580644</c:v>
              </c:pt>
              <c:pt idx="61">
                <c:v>40090.744101633398</c:v>
              </c:pt>
              <c:pt idx="62">
                <c:v>226613.48803480784</c:v>
              </c:pt>
              <c:pt idx="63">
                <c:v>89271.158270387547</c:v>
              </c:pt>
              <c:pt idx="64">
                <c:v>29133.226324237559</c:v>
              </c:pt>
              <c:pt idx="65">
                <c:v>39625.453403506195</c:v>
              </c:pt>
              <c:pt idx="66">
                <c:v>39705.882352941175</c:v>
              </c:pt>
              <c:pt idx="67">
                <c:v>76704.545454545456</c:v>
              </c:pt>
              <c:pt idx="68">
                <c:v>14522.613065326635</c:v>
              </c:pt>
              <c:pt idx="69">
                <c:v>46256.446736617465</c:v>
              </c:pt>
              <c:pt idx="70">
                <c:v>13595.166163141992</c:v>
              </c:pt>
              <c:pt idx="71">
                <c:v>1053321.0177176925</c:v>
              </c:pt>
              <c:pt idx="72">
                <c:v>963080.28811705695</c:v>
              </c:pt>
              <c:pt idx="73">
                <c:v>130240.67928646023</c:v>
              </c:pt>
              <c:pt idx="74">
                <c:v>157061.41872800278</c:v>
              </c:pt>
            </c:numLit>
          </c:val>
          <c:extLst>
            <c:ext xmlns:c16="http://schemas.microsoft.com/office/drawing/2014/chart" uri="{C3380CC4-5D6E-409C-BE32-E72D297353CC}">
              <c16:uniqueId val="{00000001-EF15-4380-BDCF-3388A3C8F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96121999"/>
        <c:axId val="1296122479"/>
      </c:barChart>
      <c:catAx>
        <c:axId val="129612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122479"/>
        <c:crosses val="autoZero"/>
        <c:auto val="1"/>
        <c:lblAlgn val="ctr"/>
        <c:lblOffset val="100"/>
        <c:noMultiLvlLbl val="0"/>
      </c:catAx>
      <c:valAx>
        <c:axId val="129612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12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Average of Actual Cost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Lit>
              <c:ptCount val="7"/>
              <c:pt idx="0">
                <c:v>2017</c:v>
              </c:pt>
              <c:pt idx="1">
                <c:v>2018</c:v>
              </c:pt>
              <c:pt idx="2">
                <c:v>2019</c:v>
              </c:pt>
              <c:pt idx="3">
                <c:v>2020</c:v>
              </c:pt>
              <c:pt idx="4">
                <c:v>2021</c:v>
              </c:pt>
              <c:pt idx="5">
                <c:v>2022</c:v>
              </c:pt>
              <c:pt idx="6">
                <c:v>2023</c:v>
              </c:pt>
            </c:strLit>
          </c:cat>
          <c:val>
            <c:numLit>
              <c:formatCode>General</c:formatCode>
              <c:ptCount val="7"/>
              <c:pt idx="0">
                <c:v>101245.28571428571</c:v>
              </c:pt>
              <c:pt idx="1">
                <c:v>400535.25</c:v>
              </c:pt>
              <c:pt idx="2">
                <c:v>59315.954545454544</c:v>
              </c:pt>
              <c:pt idx="3">
                <c:v>139207.14285714287</c:v>
              </c:pt>
              <c:pt idx="4">
                <c:v>119924.46153846153</c:v>
              </c:pt>
              <c:pt idx="5">
                <c:v>87055.607142857145</c:v>
              </c:pt>
              <c:pt idx="6">
                <c:v>357961.15384615387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6A0-4771-A716-F2DF304D3E31}"/>
            </c:ext>
          </c:extLst>
        </c:ser>
        <c:ser>
          <c:idx val="1"/>
          <c:order val="1"/>
          <c:tx>
            <c:v>Average of Actual Duration (days)</c:v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7"/>
              <c:pt idx="0">
                <c:v>2017</c:v>
              </c:pt>
              <c:pt idx="1">
                <c:v>2018</c:v>
              </c:pt>
              <c:pt idx="2">
                <c:v>2019</c:v>
              </c:pt>
              <c:pt idx="3">
                <c:v>2020</c:v>
              </c:pt>
              <c:pt idx="4">
                <c:v>2021</c:v>
              </c:pt>
              <c:pt idx="5">
                <c:v>2022</c:v>
              </c:pt>
              <c:pt idx="6">
                <c:v>2023</c:v>
              </c:pt>
            </c:strLit>
          </c:cat>
          <c:val>
            <c:numLit>
              <c:formatCode>General</c:formatCode>
              <c:ptCount val="7"/>
              <c:pt idx="0">
                <c:v>100.42857142857143</c:v>
              </c:pt>
              <c:pt idx="1">
                <c:v>129.75</c:v>
              </c:pt>
              <c:pt idx="2">
                <c:v>28.727272727272727</c:v>
              </c:pt>
              <c:pt idx="3">
                <c:v>61.785714285714285</c:v>
              </c:pt>
              <c:pt idx="4">
                <c:v>66.769230769230774</c:v>
              </c:pt>
              <c:pt idx="5">
                <c:v>14.107142857142858</c:v>
              </c:pt>
              <c:pt idx="6">
                <c:v>53.07692307692308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6A0-4771-A716-F2DF304D3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0569152"/>
        <c:axId val="220552832"/>
      </c:lineChart>
      <c:catAx>
        <c:axId val="22056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552832"/>
        <c:crosses val="autoZero"/>
        <c:auto val="1"/>
        <c:lblAlgn val="ctr"/>
        <c:lblOffset val="100"/>
        <c:noMultiLvlLbl val="0"/>
      </c:catAx>
      <c:valAx>
        <c:axId val="22055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56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158750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7D48BE-31D9-4540-9C14-4E99AEF0C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15</xdr:col>
      <xdr:colOff>133350</xdr:colOff>
      <xdr:row>17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35095E-C6ED-4C5B-AA71-30B0E3C50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nal_Updated_Project_Summary-12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ed alhusseini" refreshedDate="45886.749255324074" createdVersion="8" refreshedVersion="8" minRefreshableVersion="3" recordCount="105" xr:uid="{F52E93CF-AC68-40AE-8B5B-26A36F71B414}">
  <cacheSource type="worksheet">
    <worksheetSource name="Table1" r:id="rId2"/>
  </cacheSource>
  <cacheFields count="21">
    <cacheField name="Project ID" numFmtId="0">
      <sharedItems containsSemiMixedTypes="0" containsString="0" containsNumber="1" containsInteger="1" minValue="1" maxValue="105" count="10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</sharedItems>
    </cacheField>
    <cacheField name="Location" numFmtId="0">
      <sharedItems count="86">
        <s v="حدود العمري"/>
        <s v="حدودالعمري"/>
        <s v="شركة الركائز للاستثمار"/>
        <s v="الديوان الملكي العامر"/>
        <s v="شركة المدن الصناعية"/>
        <s v="شركة المدن الصناعية "/>
        <s v="وزارة الدفاع هيئة الاتصالات الخاصة"/>
        <s v="شركة حول العالم للصناعات الدوائيه"/>
        <s v="القيادة العامة الشركة العربية الدولية"/>
        <s v="شركة القدس لصناعة الدهانات"/>
        <s v="قيادة سلاح الجو الملكي"/>
        <s v="شركة البوتاس العربيه "/>
        <s v="شركة صناعات الاسمدة والكيماويات العربية كيمابكو"/>
        <s v="شركة بن القرشي لصناعات القهوة"/>
        <s v="غرفة صناعة الزرقاء"/>
        <s v="انس قاسم محمود الروسان"/>
        <s v="محمد محمود ذيب خطاب / شركة مخازن الريحان للتعبئة"/>
        <s v="شركة الجزيرة الزراعية"/>
        <s v="شركة البيئة المشرقة للاستدامة والصناعات البلاستيكية"/>
        <s v="شركة البارودي لصناعة وتطوير المنتجات البلاستيكية"/>
        <s v="شركة الزينة لتشكيل المعادن"/>
        <s v="مدينة الحسين للشباب"/>
        <s v="شركة منير سختيان لمواد التجميل"/>
        <s v="سلاح الجو الملكي"/>
        <s v="شركة اسمنت العربيه /القطرانه"/>
        <s v="DAMAC"/>
        <s v="الشركة الهندية "/>
        <s v="شركة الانباط العرب للمقاولات الانشائية"/>
        <s v="شركة مربع الاعمال / الجيم"/>
        <s v="شركة محمود الشوحة وشريكه"/>
        <s v="شركة محمود الفلاحات"/>
        <s v="جبر نايف العوضي"/>
        <s v="قيادة سلاح الجو الملكي / الانيكس"/>
        <s v="قيادة سلاح الجو الملكي / الذخيرة ــ الغباوي"/>
        <s v="شركة محمد السيد /مستشفى الكندي"/>
        <s v="شركة النحاتون العرب / كلية القدس اربد"/>
        <s v="ونش مالك ذيابات ــ الرمثا"/>
        <s v="الشركة الهندية / البرج"/>
        <s v="الشركة العامة للصناعة والتبريد"/>
        <s v="شركة باب الريان للصناعات البلاستيكية"/>
        <s v="شركة محمد السيد /مستشفى عبدون"/>
        <s v="القيادة العامة "/>
        <s v="الديوان الملكي الهاشمي"/>
        <s v="شركة مزارع سنقرط للدواجن"/>
        <s v="شركة المتوج لصناعة الادوية البيطرية"/>
        <s v="مظلة الزرقاء / موسى المعايطة"/>
        <s v="شركة الظاهر للخدمات اللوجستية"/>
        <s v="شركة آدم للمقولات"/>
        <s v="شركة غازانيا للطاقة الشمسية"/>
        <s v="شركة انوار العرب للمقاولات"/>
        <s v="شركة سنقرط للدواجن"/>
        <s v="شركة عدنان الركيبات "/>
        <s v="شركة الوليد للصناعت البلاستيكية"/>
        <s v=" شركة بن القرشي "/>
        <s v="نورالدين العناتي"/>
        <s v="شركة توليد الكهرباء المركزية"/>
        <s v="عبدالله محمد ابوعليا"/>
        <s v="شركة سليم كتانة "/>
        <s v="شركة معبر الاردن [ Maonet Civil Engineer] "/>
        <s v="شركة مخازن الريحان  "/>
        <s v="شركة بيت التراث والخبرة لصناعة الشوكولاته"/>
        <s v="شركة خالد الشقور وشركاه"/>
        <s v="عماد حكمت الخيري "/>
        <s v="محمد عبدالكريم ذيب القبارة"/>
        <s v="شركة البيئة الخضراء"/>
        <s v="هشام النتشة"/>
        <s v="شركة نمر اللوزي"/>
        <s v="شركة محمد العبويني"/>
        <s v="شركة الجناح الذهبي"/>
        <s v="شركة ابوعودة اخوان / رجم الشامي"/>
        <s v="شركة الضفاف الزراعية"/>
        <s v="شركة الزينة"/>
        <s v="شركة عمر حداد وشركاه"/>
        <s v="شركة سليمان ذياب النعيمات"/>
        <s v="مؤسسة طارق ابوشهاب للمقاولات"/>
        <s v="شركة بن عرب لتجارة المكسرات"/>
        <s v="شركة ايلاف الصناعية لتشكيل المعادن عطا رباح"/>
        <s v="شركة اسمنت القطرانه"/>
        <s v="شركة هوى بغداد للمطاعم السياحية"/>
        <s v="الشركة العربية للتجارة والصناعات الغذائية / الوادي"/>
        <s v="عبدالله ابودية/ الرمثا"/>
        <s v="محمد خليل ابوخضرة / الرقيم"/>
        <s v="شركة الريف للمقاولات / مخلد المجالي مرج الحمام"/>
        <s v="شركة اكتفاء / مشروع جويحان"/>
        <s v="شركة رمز للمقاولات / البستنجي"/>
        <s v="شركة معروف للصناعات الغذائية"/>
      </sharedItems>
    </cacheField>
    <cacheField name="Project Name" numFmtId="0">
      <sharedItems count="75">
        <s v="هنجر تبريد مكتب هيئة الامم لادارة المشاريع UNOPS"/>
        <s v="برادات  مكتب هيئة الامم لادارة المشاريع UNOPS"/>
        <s v="اعمال معدنية لقاعة العرض"/>
        <s v="تصميم و تنفيذ هنجر لمستودعات المشتريات / رغدان "/>
        <s v="انشاء مصانع نمطيه لمدينة الصناعيه السلط "/>
        <s v="هناجر نمطيه المرحله الرابعة  الموقر "/>
        <s v="هناجر نمطيه المرحله السادسة الكرك "/>
        <s v="اعمال شلاتر عدد 6 في عدة مواقع"/>
        <s v="اعمال شلاتر عدد 7 في عدة مواقع"/>
        <s v="الاعمال الانشائية لمصنع حول العالم للصناعات الدوائية "/>
        <s v="اعمال سقف هنجر بريفاب"/>
        <s v="اعمال مدنية ومعدنية للهنجر وخزانات التجميع"/>
        <s v="اعمال شلتر في مبنى دفاع مدني العقبة"/>
        <s v="اعمال مظلات لاصطفاف الاليات / اعمال مدنية مرحلة اولى"/>
        <s v="اعمال مظلات لاصطفاف الاليات / اعمال معدنية مرحلة اولى"/>
        <s v="اعمال مظلات لاصطفاف الاليات / اعمال معدنية مرحلة ثانية"/>
        <s v="اعمال مظلات لاصطفاف الاليات / اعمال معدنية مرحلة ثالثة"/>
        <s v="اعمال مظلات لاصطفاف الاليات / اعمال معدنية مرحلة رابعة"/>
        <s v="اعمال صيانة هاجر و انشاء مظلات IFB # رقم العطاء 202003462"/>
        <s v="توسعة هناجر مستودعات المواد الخام"/>
        <s v="اعمال هنجر"/>
        <s v="صيانة هناجر مجموعة حرس الشرف"/>
        <s v="اعمال مدنية اضافية"/>
        <s v="اعمال التوسعة العامودية للمبنى القائم"/>
        <s v="أعمال صيانة و استبدال صاج مستودع قطع الغيار ) J-6 )"/>
        <s v="اعمال مبنى مشروع مطعم اربد"/>
        <s v="اعمال مبنى الهيكل الحديد مشروع مطعم اربد"/>
        <s v="اعمال المبنى / خلدا"/>
        <s v="اعمالهناجر معدنية للبركسات عدد 14"/>
        <s v="اعمال مصانعة االمبنى"/>
        <s v="اعمال الهنجر"/>
        <s v="قاعة مؤتمرات مدينة الحسين للشباب المقاول الرئيسي الشركه العربيه –الجيش"/>
        <s v="مباني معدنيه و مستودعات"/>
        <s v="هناجر مظلات F16"/>
        <s v="هنجر مستودع اكياس ورقيه"/>
        <s v="المركز الاعلامي لاتحاد فيفا المقاول الرئيسي الشركه العربيه –الجيش"/>
        <s v="توسعة ابراج العبدلي "/>
        <s v="اعمال جريدر"/>
        <s v="انشاء صاله رياضيه مدارس الجاليات "/>
        <s v="مظلات معدنية في القصور الملكية"/>
        <s v="اعمال مظلات"/>
        <s v="اعمال هنجر "/>
        <s v="اعمال ونش"/>
        <s v="اعمال قاعدة اسمنتية وانشاء مبنى بريفاب"/>
        <s v=" اعمال سدة معدنية "/>
        <s v="برج معدني"/>
        <s v="مصعد الباشا"/>
        <s v="اعمال مظلة ولي العهد"/>
        <s v="اعمال بركسات مليح"/>
        <s v="اعمال مظلة معدنية الزرقاء"/>
        <s v="اعمال السيارات المتنقلة ــ المستشفيات عدد 3"/>
        <s v="اعمال السيارات المتنقلة ــ المستشفيات عدد6"/>
        <s v="اعمال بريفاب المؤسسة العسكرية "/>
        <s v="اعمال مظلات الطاقة الشمسية جامعة اليرموك"/>
        <s v="اعمال هنجر القطرانة"/>
        <s v="اعمال هنجر للبركسات"/>
        <s v="اعمال معدنية لقاعة الجيم"/>
        <s v="بن العميد /سايلوهات"/>
        <s v="اعمال مظلة"/>
        <s v="اعمال صيانة محطة الزرقاء"/>
        <s v="اعمال مصانعة صيانة هنجر واعمال مصانعة ونش وعرباية متحركة"/>
        <s v="اعمال صناديق توازن معدنية"/>
        <s v="اعمال بريفاب طريق المطار"/>
        <s v="اعمال الهيكل المعدني "/>
        <s v="اعمال الهنجر والونش والسايلوهات"/>
        <s v="اعمال معدنية برومين الاردن"/>
        <s v="اعمال الهيكل المعدني مرحلة اولى"/>
        <s v="اعمال سكن العمال والمصلى"/>
        <s v=" [ تدعيم ] + صاج + مظلة+ ارجاع جسورة"/>
        <s v="راس العين/مظلة 27000+6000 توسعة"/>
        <s v="اعمال هيكل معدني"/>
        <s v="اعمال مظلات معدنية القيادة العامة"/>
        <s v="اعمال الرافعات الكهربائية [ الونشات ]"/>
        <s v="اعمال الهيكل المعدني مرحلة ثانية"/>
        <s v="اعمل نقل مشاغل الامير فيصل الرئيسية [ اعمال مباني منطقة الضليل ]"/>
      </sharedItems>
    </cacheField>
    <cacheField name="Project Type" numFmtId="0">
      <sharedItems/>
    </cacheField>
    <cacheField name="Start Date" numFmtId="0">
      <sharedItems containsSemiMixedTypes="0" containsNonDate="0" containsDate="1" containsString="0" minDate="2017-05-12T00:00:00" maxDate="2023-12-07T00:00:00" count="99">
        <d v="2017-10-04T00:00:00"/>
        <d v="2017-12-28T00:00:00"/>
        <d v="2018-02-11T00:00:00"/>
        <d v="2018-03-11T00:00:00"/>
        <d v="2018-04-22T00:00:00"/>
        <d v="2018-06-20T00:00:00"/>
        <d v="2018-11-15T00:00:00"/>
        <d v="2019-01-31T00:00:00"/>
        <d v="2019-11-17T00:00:00"/>
        <d v="2020-01-22T00:00:00"/>
        <d v="2020-02-10T00:00:00"/>
        <d v="2020-06-18T00:00:00"/>
        <d v="2020-08-26T00:00:00"/>
        <d v="2020-08-27T00:00:00"/>
        <d v="2020-12-10T00:00:00"/>
        <d v="2021-04-14T00:00:00"/>
        <d v="2021-05-05T00:00:00"/>
        <d v="2021-06-03T00:00:00"/>
        <d v="2021-07-15T00:00:00"/>
        <d v="2021-10-24T00:00:00"/>
        <d v="2021-11-03T00:00:00"/>
        <d v="2021-11-23T00:00:00"/>
        <d v="2022-08-02T00:00:00"/>
        <d v="2022-09-29T00:00:00"/>
        <d v="2023-01-03T00:00:00"/>
        <d v="2023-03-08T00:00:00"/>
        <d v="2023-08-04T00:00:00"/>
        <d v="2017-05-12T00:00:00"/>
        <d v="2017-06-09T00:00:00"/>
        <d v="2017-07-11T00:00:00"/>
        <d v="2017-07-08T00:00:00"/>
        <d v="2017-08-08T00:00:00"/>
        <d v="2018-08-16T00:00:00"/>
        <d v="2018-07-01T00:00:00"/>
        <d v="2019-11-29T00:00:00"/>
        <d v="2019-11-30T00:00:00"/>
        <d v="2019-12-06T00:00:00"/>
        <d v="2019-12-07T00:00:00"/>
        <d v="2019-12-08T00:00:00"/>
        <d v="2019-12-09T00:00:00"/>
        <d v="2019-08-10T00:00:00"/>
        <d v="2019-09-11T00:00:00"/>
        <d v="2019-03-12T00:00:00"/>
        <d v="2019-05-13T00:00:00"/>
        <d v="2019-02-14T00:00:00"/>
        <d v="2019-12-15T00:00:00"/>
        <d v="2019-03-16T00:00:00"/>
        <d v="2019-01-17T00:00:00"/>
        <d v="2019-12-18T00:00:00"/>
        <d v="2019-04-15T00:00:00"/>
        <d v="2019-12-20T00:00:00"/>
        <d v="2019-12-21T00:00:00"/>
        <d v="2019-12-22T00:00:00"/>
        <d v="2019-12-23T00:00:00"/>
        <d v="2020-05-02T00:00:00"/>
        <d v="2020-01-12T00:00:00"/>
        <d v="2020-01-04T00:00:00"/>
        <d v="2020-01-25T00:00:00"/>
        <d v="2020-02-15T00:00:00"/>
        <d v="2021-02-18T00:00:00"/>
        <d v="2021-02-22T00:00:00"/>
        <d v="2021-03-27T00:00:00"/>
        <d v="2021-02-17T00:00:00"/>
        <d v="2021-05-11T00:00:00"/>
        <d v="2022-05-22T00:00:00"/>
        <d v="2022-05-19T00:00:00"/>
        <d v="2022-05-29T00:00:00"/>
        <d v="2022-06-03T00:00:00"/>
        <d v="2022-07-02T00:00:00"/>
        <d v="2022-07-29T00:00:00"/>
        <d v="2022-07-03T00:00:00"/>
        <d v="2022-07-06T00:00:00"/>
        <d v="2022-07-15T00:00:00"/>
        <d v="2022-07-24T00:00:00"/>
        <d v="2022-07-08T00:00:00"/>
        <d v="2022-08-23T00:00:00"/>
        <d v="2022-08-13T00:00:00"/>
        <d v="2022-08-25T00:00:00"/>
        <d v="2022-09-03T00:00:00"/>
        <d v="2022-09-05T00:00:00"/>
        <d v="2022-09-09T00:00:00"/>
        <d v="2022-09-12T00:00:00"/>
        <d v="2022-10-30T00:00:00"/>
        <d v="2022-10-15T00:00:00"/>
        <d v="2022-10-18T00:00:00"/>
        <d v="2022-10-05T00:00:00"/>
        <d v="2022-10-16T00:00:00"/>
        <d v="2022-10-23T00:00:00"/>
        <d v="2022-10-25T00:00:00"/>
        <d v="2023-01-07T00:00:00"/>
        <d v="2023-01-15T00:00:00"/>
        <d v="2023-01-05T00:00:00"/>
        <d v="2023-06-10T00:00:00"/>
        <d v="2023-07-12T00:00:00"/>
        <d v="2023-08-30T00:00:00"/>
        <d v="2023-12-06T00:00:00"/>
        <d v="2023-06-14T00:00:00"/>
        <d v="2023-06-15T00:00:00"/>
        <d v="2023-06-16T00:00:00"/>
      </sharedItems>
      <fieldGroup par="20"/>
    </cacheField>
    <cacheField name="End Date" numFmtId="165">
      <sharedItems containsSemiMixedTypes="0" containsNonDate="0" containsDate="1" containsString="0" minDate="2017-08-08T00:00:00" maxDate="2024-01-21T00:00:00"/>
    </cacheField>
    <cacheField name="Actual Cost" numFmtId="0">
      <sharedItems containsSemiMixedTypes="0" containsString="0" containsNumber="1" containsInteger="1" minValue="4466" maxValue="2175000"/>
    </cacheField>
    <cacheField name="Estimated Duration (days)" numFmtId="0">
      <sharedItems containsSemiMixedTypes="0" containsString="0" containsNumber="1" containsInteger="1" minValue="1" maxValue="250"/>
    </cacheField>
    <cacheField name="Actual Duration (days)" numFmtId="0">
      <sharedItems containsSemiMixedTypes="0" containsString="0" containsNumber="1" containsInteger="1" minValue="1" maxValue="251"/>
    </cacheField>
    <cacheField name="Number of Workers" numFmtId="0">
      <sharedItems containsSemiMixedTypes="0" containsString="0" containsNumber="1" containsInteger="1" minValue="3" maxValue="1160"/>
    </cacheField>
    <cacheField name="Materials Cost" numFmtId="0">
      <sharedItems containsSemiMixedTypes="0" containsString="0" containsNumber="1" minValue="2813.58" maxValue="1370250"/>
    </cacheField>
    <cacheField name="Labor Cost" numFmtId="0">
      <sharedItems containsSemiMixedTypes="0" containsString="0" containsNumber="1" containsInteger="1" minValue="150" maxValue="58000"/>
    </cacheField>
    <cacheField name="Equipment Cost" numFmtId="0">
      <sharedItems containsSemiMixedTypes="0" containsString="0" containsNumber="1" minValue="937.86" maxValue="456750"/>
    </cacheField>
    <cacheField name="Delay Days" numFmtId="0">
      <sharedItems containsSemiMixedTypes="0" containsString="0" containsNumber="1" containsInteger="1" minValue="-10" maxValue="0"/>
    </cacheField>
    <cacheField name="Contractor" numFmtId="0">
      <sharedItems count="1">
        <s v="DSC Steel"/>
      </sharedItems>
    </cacheField>
    <cacheField name="Change Orders" numFmtId="0">
      <sharedItems containsSemiMixedTypes="0" containsString="0" containsNumber="1" containsInteger="1" minValue="-73832" maxValue="396278"/>
    </cacheField>
    <cacheField name="Budget Overrun (%)" numFmtId="166">
      <sharedItems containsSemiMixedTypes="0" containsString="0" containsNumber="1" minValue="4.0000000000000036E-2" maxValue="0.32222222222222219"/>
    </cacheField>
    <cacheField name="Estimated Cost" numFmtId="0">
      <sharedItems containsSemiMixedTypes="0" containsString="0" containsNumber="1" minValue="3964.7983524697052" maxValue="1919117.6470588236"/>
    </cacheField>
    <cacheField name="Months (Start Date)" numFmtId="0" databaseField="0">
      <fieldGroup base="4">
        <rangePr groupBy="months" startDate="2017-05-12T00:00:00" endDate="2023-12-07T00:00:00"/>
        <groupItems count="14">
          <s v="&lt;5/12/2017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7/2023"/>
        </groupItems>
      </fieldGroup>
    </cacheField>
    <cacheField name="Quarters (Start Date)" numFmtId="0" databaseField="0">
      <fieldGroup base="4">
        <rangePr groupBy="quarters" startDate="2017-05-12T00:00:00" endDate="2023-12-07T00:00:00"/>
        <groupItems count="6">
          <s v="&lt;5/12/2017"/>
          <s v="Qtr1"/>
          <s v="Qtr2"/>
          <s v="Qtr3"/>
          <s v="Qtr4"/>
          <s v="&gt;12/7/2023"/>
        </groupItems>
      </fieldGroup>
    </cacheField>
    <cacheField name="Years (Start Date)" numFmtId="0" databaseField="0">
      <fieldGroup base="4">
        <rangePr groupBy="years" startDate="2017-05-12T00:00:00" endDate="2023-12-07T00:00:00"/>
        <groupItems count="9">
          <s v="&lt;5/12/2017"/>
          <s v="2017"/>
          <s v="2018"/>
          <s v="2019"/>
          <s v="2020"/>
          <s v="2021"/>
          <s v="2022"/>
          <s v="2023"/>
          <s v="&gt;12/7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ed alhusseini" refreshedDate="45888.748101851852" createdVersion="8" refreshedVersion="8" minRefreshableVersion="3" recordCount="105" xr:uid="{7D3E9875-2210-4E57-8E99-7C479B6B6603}">
  <cacheSource type="worksheet">
    <worksheetSource name="Table1"/>
  </cacheSource>
  <cacheFields count="20">
    <cacheField name="Project ID" numFmtId="0">
      <sharedItems containsSemiMixedTypes="0" containsString="0" containsNumber="1" containsInteger="1" minValue="1" maxValue="105"/>
    </cacheField>
    <cacheField name="Location" numFmtId="0">
      <sharedItems/>
    </cacheField>
    <cacheField name="Project Name" numFmtId="0">
      <sharedItems count="75">
        <s v="هنجر تبريد مكتب هيئة الامم لادارة المشاريع UNOPS"/>
        <s v="برادات  مكتب هيئة الامم لادارة المشاريع UNOPS"/>
        <s v="اعمال معدنية لقاعة العرض"/>
        <s v="تصميم و تنفيذ هنجر لمستودعات المشتريات / رغدان "/>
        <s v="انشاء مصانع نمطيه لمدينة الصناعيه السلط "/>
        <s v="هناجر نمطيه المرحله الرابعة  الموقر "/>
        <s v="هناجر نمطيه المرحله السادسة الكرك "/>
        <s v="اعمال شلاتر عدد 6 في عدة مواقع"/>
        <s v="اعمال شلاتر عدد 7 في عدة مواقع"/>
        <s v="الاعمال الانشائية لمصنع حول العالم للصناعات الدوائية "/>
        <s v="اعمال سقف هنجر بريفاب"/>
        <s v="اعمال مدنية ومعدنية للهنجر وخزانات التجميع"/>
        <s v="اعمال شلتر في مبنى دفاع مدني العقبة"/>
        <s v="اعمال مظلات لاصطفاف الاليات / اعمال مدنية مرحلة اولى"/>
        <s v="اعمال مظلات لاصطفاف الاليات / اعمال معدنية مرحلة اولى"/>
        <s v="اعمال مظلات لاصطفاف الاليات / اعمال معدنية مرحلة ثانية"/>
        <s v="اعمال مظلات لاصطفاف الاليات / اعمال معدنية مرحلة ثالثة"/>
        <s v="اعمال مظلات لاصطفاف الاليات / اعمال معدنية مرحلة رابعة"/>
        <s v="اعمال صيانة هاجر و انشاء مظلات IFB # رقم العطاء 202003462"/>
        <s v="توسعة هناجر مستودعات المواد الخام"/>
        <s v="اعمال هنجر"/>
        <s v="صيانة هناجر مجموعة حرس الشرف"/>
        <s v="اعمال مدنية اضافية"/>
        <s v="اعمال التوسعة العامودية للمبنى القائم"/>
        <s v="أعمال صيانة و استبدال صاج مستودع قطع الغيار ) J-6 )"/>
        <s v="اعمال مبنى مشروع مطعم اربد"/>
        <s v="اعمال مبنى الهيكل الحديد مشروع مطعم اربد"/>
        <s v="اعمال المبنى / خلدا"/>
        <s v="اعمالهناجر معدنية للبركسات عدد 14"/>
        <s v="اعمال مصانعة االمبنى"/>
        <s v="اعمال الهنجر"/>
        <s v="قاعة مؤتمرات مدينة الحسين للشباب المقاول الرئيسي الشركه العربيه –الجيش"/>
        <s v="مباني معدنيه و مستودعات"/>
        <s v="هناجر مظلات F16"/>
        <s v="هنجر مستودع اكياس ورقيه"/>
        <s v="المركز الاعلامي لاتحاد فيفا المقاول الرئيسي الشركه العربيه –الجيش"/>
        <s v="توسعة ابراج العبدلي "/>
        <s v="اعمال جريدر"/>
        <s v="انشاء صاله رياضيه مدارس الجاليات "/>
        <s v="مظلات معدنية في القصور الملكية"/>
        <s v="اعمال مظلات"/>
        <s v="اعمال هنجر "/>
        <s v="اعمال ونش"/>
        <s v="اعمال قاعدة اسمنتية وانشاء مبنى بريفاب"/>
        <s v=" اعمال سدة معدنية "/>
        <s v="برج معدني"/>
        <s v="مصعد الباشا"/>
        <s v="اعمال مظلة ولي العهد"/>
        <s v="اعمال بركسات مليح"/>
        <s v="اعمال مظلة معدنية الزرقاء"/>
        <s v="اعمال السيارات المتنقلة ــ المستشفيات عدد 3"/>
        <s v="اعمال السيارات المتنقلة ــ المستشفيات عدد6"/>
        <s v="اعمال بريفاب المؤسسة العسكرية "/>
        <s v="اعمال مظلات الطاقة الشمسية جامعة اليرموك"/>
        <s v="اعمال هنجر القطرانة"/>
        <s v="اعمال هنجر للبركسات"/>
        <s v="اعمال معدنية لقاعة الجيم"/>
        <s v="بن العميد /سايلوهات"/>
        <s v="اعمال مظلة"/>
        <s v="اعمال صيانة محطة الزرقاء"/>
        <s v="اعمال مصانعة صيانة هنجر واعمال مصانعة ونش وعرباية متحركة"/>
        <s v="اعمال صناديق توازن معدنية"/>
        <s v="اعمال بريفاب طريق المطار"/>
        <s v="اعمال الهيكل المعدني "/>
        <s v="اعمال الهنجر والونش والسايلوهات"/>
        <s v="اعمال معدنية برومين الاردن"/>
        <s v="اعمال الهيكل المعدني مرحلة اولى"/>
        <s v="اعمال سكن العمال والمصلى"/>
        <s v=" [ تدعيم ] + صاج + مظلة+ ارجاع جسورة"/>
        <s v="راس العين/مظلة 27000+6000 توسعة"/>
        <s v="اعمال هيكل معدني"/>
        <s v="اعمال مظلات معدنية القيادة العامة"/>
        <s v="اعمال الرافعات الكهربائية [ الونشات ]"/>
        <s v="اعمال الهيكل المعدني مرحلة ثانية"/>
        <s v="اعمل نقل مشاغل الامير فيصل الرئيسية [ اعمال مباني منطقة الضليل ]"/>
      </sharedItems>
    </cacheField>
    <cacheField name="Project Type" numFmtId="0">
      <sharedItems/>
    </cacheField>
    <cacheField name="Start Date" numFmtId="0">
      <sharedItems containsSemiMixedTypes="0" containsNonDate="0" containsDate="1" containsString="0" minDate="2017-05-12T00:00:00" maxDate="2023-12-07T00:00:00"/>
    </cacheField>
    <cacheField name="End Date" numFmtId="165">
      <sharedItems containsSemiMixedTypes="0" containsNonDate="0" containsDate="1" containsString="0" minDate="2017-08-08T00:00:00" maxDate="2024-01-21T00:00:00"/>
    </cacheField>
    <cacheField name="Actual Cost" numFmtId="0">
      <sharedItems containsSemiMixedTypes="0" containsString="0" containsNumber="1" containsInteger="1" minValue="4466" maxValue="2175000"/>
    </cacheField>
    <cacheField name="Estimated Duration (days)" numFmtId="0">
      <sharedItems containsSemiMixedTypes="0" containsString="0" containsNumber="1" containsInteger="1" minValue="1" maxValue="250"/>
    </cacheField>
    <cacheField name="Actual Duration (days)" numFmtId="0">
      <sharedItems containsSemiMixedTypes="0" containsString="0" containsNumber="1" containsInteger="1" minValue="1" maxValue="251"/>
    </cacheField>
    <cacheField name="Number of Workers" numFmtId="0">
      <sharedItems containsSemiMixedTypes="0" containsString="0" containsNumber="1" containsInteger="1" minValue="3" maxValue="1160"/>
    </cacheField>
    <cacheField name="Materials Cost" numFmtId="0">
      <sharedItems containsSemiMixedTypes="0" containsString="0" containsNumber="1" minValue="2813.58" maxValue="1370250"/>
    </cacheField>
    <cacheField name="Labor Cost" numFmtId="0">
      <sharedItems containsSemiMixedTypes="0" containsString="0" containsNumber="1" containsInteger="1" minValue="150" maxValue="58000"/>
    </cacheField>
    <cacheField name="Equipment Cost" numFmtId="0">
      <sharedItems containsSemiMixedTypes="0" containsString="0" containsNumber="1" minValue="937.86" maxValue="456750"/>
    </cacheField>
    <cacheField name="Delay Days" numFmtId="0">
      <sharedItems containsSemiMixedTypes="0" containsString="0" containsNumber="1" containsInteger="1" minValue="-10" maxValue="0"/>
    </cacheField>
    <cacheField name="Contractor" numFmtId="0">
      <sharedItems/>
    </cacheField>
    <cacheField name="Change Orders" numFmtId="0">
      <sharedItems containsSemiMixedTypes="0" containsString="0" containsNumber="1" containsInteger="1" minValue="-73832" maxValue="396278"/>
    </cacheField>
    <cacheField name="Budget Overrun (%)" numFmtId="166">
      <sharedItems containsSemiMixedTypes="0" containsString="0" containsNumber="1" minValue="4.0000000000000036E-2" maxValue="0.32222222222222219"/>
    </cacheField>
    <cacheField name="Estimated Cost" numFmtId="0">
      <sharedItems containsSemiMixedTypes="0" containsString="0" containsNumber="1" minValue="3964.7983524697052" maxValue="1919117.6470588236"/>
    </cacheField>
    <cacheField name="Start Year" numFmtId="0">
      <sharedItems containsSemiMixedTypes="0" containsString="0" containsNumber="1" containsInteger="1" minValue="2017" maxValue="2023"/>
    </cacheField>
    <cacheField name="AREA (M2)" numFmtId="2">
      <sharedItems containsSemiMixedTypes="0" containsString="0" containsNumber="1" containsInteger="1" minValue="0" maxValue="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x v="0"/>
    <x v="0"/>
    <x v="0"/>
    <s v="Steel Structure"/>
    <x v="0"/>
    <d v="2018-01-02T00:00:00"/>
    <n v="152794"/>
    <n v="90"/>
    <n v="92"/>
    <n v="82"/>
    <n v="91676.4"/>
    <n v="4100"/>
    <n v="30558.800000000003"/>
    <n v="-2"/>
    <x v="0"/>
    <n v="32206"/>
    <n v="0.17316648559498415"/>
    <n v="130240.67928646023"/>
  </r>
  <r>
    <x v="1"/>
    <x v="1"/>
    <x v="1"/>
    <s v="Steel Structure"/>
    <x v="1"/>
    <d v="2018-06-26T00:00:00"/>
    <n v="187923"/>
    <n v="180"/>
    <n v="185"/>
    <n v="101"/>
    <n v="122149.95"/>
    <n v="5050"/>
    <n v="41343.06"/>
    <n v="-5"/>
    <x v="0"/>
    <n v="0"/>
    <n v="0.10312729149704924"/>
    <n v="170354.77360456789"/>
  </r>
  <r>
    <x v="2"/>
    <x v="2"/>
    <x v="2"/>
    <s v="Steel Structure"/>
    <x v="2"/>
    <d v="2018-06-11T00:00:00"/>
    <n v="86500"/>
    <n v="120"/>
    <n v="121"/>
    <n v="47"/>
    <n v="54495"/>
    <n v="2350"/>
    <n v="18165"/>
    <n v="-1"/>
    <x v="0"/>
    <n v="0"/>
    <n v="0.13283236994219649"/>
    <n v="76357.281355240339"/>
  </r>
  <r>
    <x v="3"/>
    <x v="3"/>
    <x v="3"/>
    <s v="Steel Structure"/>
    <x v="3"/>
    <d v="2018-06-09T00:00:00"/>
    <n v="47000"/>
    <n v="90"/>
    <n v="100"/>
    <n v="26"/>
    <n v="28200"/>
    <n v="1300"/>
    <n v="9400"/>
    <n v="-10"/>
    <x v="0"/>
    <n v="0"/>
    <n v="0.17234042553191486"/>
    <n v="40090.744101633398"/>
  </r>
  <r>
    <x v="4"/>
    <x v="4"/>
    <x v="4"/>
    <s v="Steel Structure"/>
    <x v="4"/>
    <d v="2018-10-19T00:00:00"/>
    <n v="466900"/>
    <n v="180"/>
    <n v="183"/>
    <n v="250"/>
    <n v="303485"/>
    <n v="12500"/>
    <n v="116725"/>
    <n v="-3"/>
    <x v="0"/>
    <n v="0"/>
    <n v="7.3227671878346556E-2"/>
    <n v="435042.82663792936"/>
  </r>
  <r>
    <x v="5"/>
    <x v="4"/>
    <x v="5"/>
    <s v="Steel Structure"/>
    <x v="5"/>
    <d v="2019-02-15T00:00:00"/>
    <n v="1120000"/>
    <n v="240"/>
    <n v="240"/>
    <n v="598"/>
    <n v="705600"/>
    <n v="29900"/>
    <n v="313600.00000000006"/>
    <n v="0"/>
    <x v="0"/>
    <n v="-73832"/>
    <n v="6.3303571428571459E-2"/>
    <n v="1053321.0177176925"/>
  </r>
  <r>
    <x v="6"/>
    <x v="5"/>
    <x v="6"/>
    <s v="Steel Structure"/>
    <x v="5"/>
    <d v="2019-02-15T00:00:00"/>
    <n v="1130000"/>
    <n v="240"/>
    <n v="241"/>
    <n v="603"/>
    <n v="678000"/>
    <n v="30150"/>
    <n v="226000"/>
    <n v="-1"/>
    <x v="0"/>
    <n v="396278"/>
    <n v="0.17331858407079648"/>
    <n v="963080.28811705695"/>
  </r>
  <r>
    <x v="7"/>
    <x v="6"/>
    <x v="7"/>
    <s v="Steel Structure"/>
    <x v="6"/>
    <d v="2019-02-13T00:00:00"/>
    <n v="49970"/>
    <n v="90"/>
    <n v="90"/>
    <n v="27"/>
    <n v="32480.5"/>
    <n v="1350"/>
    <n v="7495.5"/>
    <n v="0"/>
    <x v="0"/>
    <n v="0"/>
    <n v="0.17298379027416455"/>
    <n v="42600.759204285663"/>
  </r>
  <r>
    <x v="8"/>
    <x v="6"/>
    <x v="8"/>
    <s v="Steel Structure"/>
    <x v="7"/>
    <d v="2019-05-01T00:00:00"/>
    <n v="49875"/>
    <n v="90"/>
    <n v="98"/>
    <n v="27"/>
    <n v="31421.25"/>
    <n v="1350"/>
    <n v="14962.5"/>
    <n v="-8"/>
    <x v="0"/>
    <n v="0"/>
    <n v="4.2932330827067711E-2"/>
    <n v="47821.894600245112"/>
  </r>
  <r>
    <x v="9"/>
    <x v="7"/>
    <x v="9"/>
    <s v="Steel Structure"/>
    <x v="8"/>
    <d v="2020-03-16T00:00:00"/>
    <n v="120000"/>
    <n v="120"/>
    <n v="122"/>
    <n v="64"/>
    <n v="72000"/>
    <n v="3200"/>
    <n v="30000"/>
    <n v="-2"/>
    <x v="0"/>
    <n v="33000"/>
    <n v="0.12333333333333329"/>
    <n v="106824.92581602374"/>
  </r>
  <r>
    <x v="10"/>
    <x v="8"/>
    <x v="10"/>
    <s v="Steel Structure"/>
    <x v="9"/>
    <d v="2020-01-29T00:00:00"/>
    <n v="6600"/>
    <n v="7"/>
    <n v="12"/>
    <n v="4"/>
    <n v="4290"/>
    <n v="200"/>
    <n v="1188"/>
    <n v="-5"/>
    <x v="0"/>
    <n v="0"/>
    <n v="0.13969696969696965"/>
    <n v="5791.0130284498809"/>
  </r>
  <r>
    <x v="11"/>
    <x v="9"/>
    <x v="11"/>
    <s v="Steel Structure"/>
    <x v="10"/>
    <d v="2020-10-17T00:00:00"/>
    <n v="60000"/>
    <n v="250"/>
    <n v="251"/>
    <n v="32"/>
    <n v="37800"/>
    <n v="1600"/>
    <n v="16800"/>
    <n v="-1"/>
    <x v="0"/>
    <n v="51000"/>
    <n v="6.3333333333333353E-2"/>
    <n v="56426.332288401245"/>
  </r>
  <r>
    <x v="12"/>
    <x v="6"/>
    <x v="12"/>
    <s v="Steel Structure"/>
    <x v="11"/>
    <d v="2020-07-18T00:00:00"/>
    <n v="9500"/>
    <n v="30"/>
    <n v="40"/>
    <n v="6"/>
    <n v="5700"/>
    <n v="300"/>
    <n v="1805"/>
    <n v="-10"/>
    <x v="0"/>
    <n v="0"/>
    <n v="0.17842105263157892"/>
    <n v="8061.6346583296126"/>
  </r>
  <r>
    <x v="13"/>
    <x v="10"/>
    <x v="13"/>
    <s v="Steel Structure"/>
    <x v="12"/>
    <d v="2020-10-10T00:00:00"/>
    <n v="9000"/>
    <n v="45"/>
    <n v="48"/>
    <n v="5"/>
    <n v="4950"/>
    <n v="250"/>
    <n v="3240"/>
    <n v="-3"/>
    <x v="0"/>
    <n v="0"/>
    <n v="6.2222222222222179E-2"/>
    <n v="8472.8033472803345"/>
  </r>
  <r>
    <x v="14"/>
    <x v="10"/>
    <x v="14"/>
    <s v="Steel Structure"/>
    <x v="12"/>
    <d v="2020-10-10T00:00:00"/>
    <n v="10000"/>
    <n v="45"/>
    <n v="45"/>
    <n v="6"/>
    <n v="7800"/>
    <n v="300"/>
    <n v="1500"/>
    <n v="0"/>
    <x v="0"/>
    <n v="0"/>
    <n v="4.0000000000000036E-2"/>
    <n v="9615.3846153846152"/>
  </r>
  <r>
    <x v="15"/>
    <x v="10"/>
    <x v="15"/>
    <s v="Steel Structure"/>
    <x v="12"/>
    <d v="2020-10-10T00:00:00"/>
    <n v="10000"/>
    <n v="45"/>
    <n v="46"/>
    <n v="6"/>
    <n v="4800"/>
    <n v="300"/>
    <n v="3200"/>
    <n v="-1"/>
    <x v="0"/>
    <n v="0"/>
    <n v="0.17000000000000004"/>
    <n v="8547.0085470085469"/>
  </r>
  <r>
    <x v="16"/>
    <x v="10"/>
    <x v="16"/>
    <s v="Steel Structure"/>
    <x v="13"/>
    <d v="2020-10-11T00:00:00"/>
    <n v="10000"/>
    <n v="45"/>
    <n v="45"/>
    <n v="6"/>
    <n v="5800"/>
    <n v="300"/>
    <n v="2400"/>
    <n v="0"/>
    <x v="0"/>
    <n v="0"/>
    <n v="0.15000000000000002"/>
    <n v="8695.652173913044"/>
  </r>
  <r>
    <x v="17"/>
    <x v="10"/>
    <x v="17"/>
    <s v="Steel Structure"/>
    <x v="13"/>
    <d v="2020-10-11T00:00:00"/>
    <n v="8000"/>
    <n v="45"/>
    <n v="53"/>
    <n v="5"/>
    <n v="5600"/>
    <n v="250"/>
    <n v="1040"/>
    <n v="-8"/>
    <x v="0"/>
    <n v="0"/>
    <n v="0.13875000000000004"/>
    <n v="7025.2469813391881"/>
  </r>
  <r>
    <x v="18"/>
    <x v="11"/>
    <x v="18"/>
    <s v="Steel Structure"/>
    <x v="14"/>
    <d v="2021-06-08T00:00:00"/>
    <n v="249865"/>
    <n v="180"/>
    <n v="182"/>
    <n v="134"/>
    <n v="149919"/>
    <n v="6700"/>
    <n v="49973"/>
    <n v="-2"/>
    <x v="0"/>
    <n v="0"/>
    <n v="0.17318552018089772"/>
    <n v="212979.95560111621"/>
  </r>
  <r>
    <x v="19"/>
    <x v="12"/>
    <x v="19"/>
    <s v="Steel Structure"/>
    <x v="15"/>
    <d v="2021-08-12T00:00:00"/>
    <n v="105609"/>
    <n v="120"/>
    <n v="125"/>
    <n v="57"/>
    <n v="55972.770000000004"/>
    <n v="2850"/>
    <n v="27458.34"/>
    <n v="-5"/>
    <x v="0"/>
    <n v="0"/>
    <n v="0.18301366360821525"/>
    <n v="89271.158270387547"/>
  </r>
  <r>
    <x v="20"/>
    <x v="13"/>
    <x v="20"/>
    <s v="Steel Structure"/>
    <x v="16"/>
    <d v="2021-08-03T00:00:00"/>
    <n v="120000"/>
    <n v="90"/>
    <n v="91"/>
    <n v="64"/>
    <n v="81600"/>
    <n v="3200"/>
    <n v="13200"/>
    <n v="-1"/>
    <x v="0"/>
    <n v="0"/>
    <n v="0.18333333333333335"/>
    <n v="101408.45070422535"/>
  </r>
  <r>
    <x v="21"/>
    <x v="3"/>
    <x v="21"/>
    <s v="Steel Structure"/>
    <x v="17"/>
    <d v="2021-07-28T00:00:00"/>
    <n v="46485"/>
    <n v="55"/>
    <n v="65"/>
    <n v="25"/>
    <n v="27891"/>
    <n v="1250"/>
    <n v="9297"/>
    <n v="-10"/>
    <x v="0"/>
    <n v="0"/>
    <n v="0.17310960524900509"/>
    <n v="39625.453403506195"/>
  </r>
  <r>
    <x v="22"/>
    <x v="13"/>
    <x v="22"/>
    <s v="Steel Structure"/>
    <x v="18"/>
    <d v="2021-10-10T00:00:00"/>
    <n v="36880"/>
    <n v="87"/>
    <n v="90"/>
    <n v="20"/>
    <n v="23972"/>
    <n v="1000"/>
    <n v="8113.6"/>
    <n v="-3"/>
    <x v="0"/>
    <n v="83120"/>
    <n v="0.102885032537961"/>
    <n v="33439.56886887084"/>
  </r>
  <r>
    <x v="23"/>
    <x v="14"/>
    <x v="23"/>
    <s v="Steel Structure"/>
    <x v="19"/>
    <d v="2022-02-21T00:00:00"/>
    <n v="550000"/>
    <n v="120"/>
    <n v="120"/>
    <n v="294"/>
    <n v="346500"/>
    <n v="14700"/>
    <n v="115500"/>
    <n v="0"/>
    <x v="0"/>
    <n v="0"/>
    <n v="0.13327272727272732"/>
    <n v="485320.07059201028"/>
  </r>
  <r>
    <x v="24"/>
    <x v="11"/>
    <x v="24"/>
    <s v="Steel Structure"/>
    <x v="20"/>
    <d v="2022-04-02T00:00:00"/>
    <n v="237526"/>
    <n v="150"/>
    <n v="151"/>
    <n v="127"/>
    <n v="142515.6"/>
    <n v="6350"/>
    <n v="47505.200000000004"/>
    <n v="-1"/>
    <x v="0"/>
    <n v="0"/>
    <n v="0.17326608455495396"/>
    <n v="202448.53501420259"/>
  </r>
  <r>
    <x v="25"/>
    <x v="15"/>
    <x v="25"/>
    <s v="Steel Structure"/>
    <x v="21"/>
    <d v="2022-02-21T00:00:00"/>
    <n v="100470"/>
    <n v="90"/>
    <n v="90"/>
    <n v="54"/>
    <n v="65305.5"/>
    <n v="2700"/>
    <n v="22103.4"/>
    <n v="0"/>
    <x v="0"/>
    <n v="0"/>
    <n v="0.10312630636010756"/>
    <n v="91077.512539350413"/>
  </r>
  <r>
    <x v="26"/>
    <x v="15"/>
    <x v="26"/>
    <s v="Steel Structure"/>
    <x v="21"/>
    <d v="2022-02-14T00:00:00"/>
    <n v="68935"/>
    <n v="83"/>
    <n v="91"/>
    <n v="37"/>
    <n v="43429.05"/>
    <n v="1850"/>
    <n v="14476.35"/>
    <n v="-8"/>
    <x v="0"/>
    <n v="27595"/>
    <n v="0.13316312468267211"/>
    <n v="60834.136320226949"/>
  </r>
  <r>
    <x v="27"/>
    <x v="16"/>
    <x v="27"/>
    <s v="Steel Structure"/>
    <x v="22"/>
    <d v="2022-09-16T00:00:00"/>
    <n v="23000"/>
    <n v="45"/>
    <n v="47"/>
    <n v="13"/>
    <n v="13800"/>
    <n v="650"/>
    <n v="4600"/>
    <n v="-2"/>
    <x v="0"/>
    <n v="187567"/>
    <n v="0.17173913043478262"/>
    <n v="19628.942486085343"/>
  </r>
  <r>
    <x v="28"/>
    <x v="17"/>
    <x v="28"/>
    <s v="Steel Structure"/>
    <x v="23"/>
    <d v="2023-01-27T00:00:00"/>
    <n v="960000"/>
    <n v="120"/>
    <n v="125"/>
    <n v="512"/>
    <n v="624000"/>
    <n v="25600"/>
    <n v="211200"/>
    <n v="-5"/>
    <x v="0"/>
    <n v="0"/>
    <n v="0.10333333333333339"/>
    <n v="870090.63444108749"/>
  </r>
  <r>
    <x v="29"/>
    <x v="18"/>
    <x v="29"/>
    <s v="Steel Structure"/>
    <x v="24"/>
    <d v="2023-05-08T00:00:00"/>
    <n v="150120"/>
    <n v="125"/>
    <n v="126"/>
    <n v="81"/>
    <n v="94575.6"/>
    <n v="4050"/>
    <n v="31525.199999999997"/>
    <n v="-1"/>
    <x v="0"/>
    <n v="0"/>
    <n v="0.13302158273381293"/>
    <n v="132495.26954092321"/>
  </r>
  <r>
    <x v="30"/>
    <x v="19"/>
    <x v="30"/>
    <s v="Steel Structure"/>
    <x v="25"/>
    <d v="2023-05-07T00:00:00"/>
    <n v="24600"/>
    <n v="60"/>
    <n v="70"/>
    <n v="14"/>
    <n v="14760"/>
    <n v="700"/>
    <n v="4920"/>
    <n v="-10"/>
    <x v="0"/>
    <n v="0"/>
    <n v="0.17154471544715444"/>
    <n v="20997.918112421932"/>
  </r>
  <r>
    <x v="31"/>
    <x v="20"/>
    <x v="29"/>
    <s v="Steel Structure"/>
    <x v="26"/>
    <d v="2023-11-02T00:00:00"/>
    <n v="88775"/>
    <n v="90"/>
    <n v="93"/>
    <n v="48"/>
    <n v="57703.75"/>
    <n v="2400"/>
    <n v="19530.5"/>
    <n v="-3"/>
    <x v="0"/>
    <n v="0"/>
    <n v="0.1029653618698958"/>
    <n v="80487.568394257309"/>
  </r>
  <r>
    <x v="32"/>
    <x v="21"/>
    <x v="31"/>
    <s v="Steel Structure"/>
    <x v="27"/>
    <d v="2017-08-10T00:00:00"/>
    <n v="45000"/>
    <n v="90"/>
    <n v="90"/>
    <n v="24"/>
    <n v="28350"/>
    <n v="1200"/>
    <n v="9450"/>
    <n v="0"/>
    <x v="0"/>
    <n v="0"/>
    <n v="0.1333333333333333"/>
    <n v="39705.882352941175"/>
  </r>
  <r>
    <x v="33"/>
    <x v="22"/>
    <x v="32"/>
    <s v="Steel Structure"/>
    <x v="28"/>
    <d v="2017-08-08T00:00:00"/>
    <n v="90000"/>
    <n v="60"/>
    <n v="61"/>
    <n v="48"/>
    <n v="54000"/>
    <n v="2400"/>
    <n v="18000"/>
    <n v="-1"/>
    <x v="0"/>
    <n v="0"/>
    <n v="0.17333333333333334"/>
    <n v="76704.545454545456"/>
  </r>
  <r>
    <x v="34"/>
    <x v="23"/>
    <x v="33"/>
    <s v="Steel Structure"/>
    <x v="29"/>
    <d v="2017-10-04T00:00:00"/>
    <n v="15000"/>
    <n v="85"/>
    <n v="85"/>
    <n v="8"/>
    <n v="9750"/>
    <n v="400"/>
    <n v="3300"/>
    <n v="0"/>
    <x v="0"/>
    <n v="0"/>
    <n v="0.10333333333333339"/>
    <n v="13595.166163141992"/>
  </r>
  <r>
    <x v="35"/>
    <x v="24"/>
    <x v="34"/>
    <s v="Steel Structure"/>
    <x v="30"/>
    <d v="2017-11-05T00:00:00"/>
    <n v="178000"/>
    <n v="120"/>
    <n v="128"/>
    <n v="95"/>
    <n v="112140"/>
    <n v="4750"/>
    <n v="37380"/>
    <n v="-8"/>
    <x v="0"/>
    <n v="0"/>
    <n v="0.13331460674157303"/>
    <n v="157061.41872800278"/>
  </r>
  <r>
    <x v="36"/>
    <x v="21"/>
    <x v="35"/>
    <s v="Steel Structure"/>
    <x v="31"/>
    <d v="2017-10-07T00:00:00"/>
    <n v="40000"/>
    <n v="60"/>
    <n v="62"/>
    <n v="22"/>
    <n v="24000"/>
    <n v="1100"/>
    <n v="8000"/>
    <n v="-2"/>
    <x v="0"/>
    <n v="0"/>
    <n v="0.17249999999999999"/>
    <n v="34115.13859275054"/>
  </r>
  <r>
    <x v="37"/>
    <x v="25"/>
    <x v="36"/>
    <s v="Steel Structure"/>
    <x v="32"/>
    <d v="2018-08-28T00:00:00"/>
    <n v="250000"/>
    <n v="12"/>
    <n v="17"/>
    <n v="134"/>
    <n v="162500"/>
    <n v="6700"/>
    <n v="55000"/>
    <n v="-5"/>
    <x v="0"/>
    <n v="0"/>
    <n v="0.10319999999999996"/>
    <n v="226613.48803480784"/>
  </r>
  <r>
    <x v="38"/>
    <x v="26"/>
    <x v="37"/>
    <s v="Steel Structure"/>
    <x v="33"/>
    <d v="2018-08-15T00:00:00"/>
    <n v="53912"/>
    <n v="45"/>
    <n v="46"/>
    <n v="29"/>
    <n v="33964.559999999998"/>
    <n v="1450"/>
    <n v="11321.52"/>
    <n v="-1"/>
    <x v="0"/>
    <n v="0"/>
    <n v="0.1331043181480932"/>
    <n v="47579.026164256371"/>
  </r>
  <r>
    <x v="39"/>
    <x v="27"/>
    <x v="38"/>
    <s v="Steel Structure"/>
    <x v="34"/>
    <d v="2020-05-27T00:00:00"/>
    <n v="348550"/>
    <n v="180"/>
    <n v="190"/>
    <n v="186"/>
    <n v="209130"/>
    <n v="9300"/>
    <n v="69710"/>
    <n v="-10"/>
    <x v="0"/>
    <n v="0"/>
    <n v="0.17331803184622008"/>
    <n v="297063.53310837247"/>
  </r>
  <r>
    <x v="40"/>
    <x v="3"/>
    <x v="39"/>
    <s v="Steel Structure"/>
    <x v="35"/>
    <d v="2020-02-28T00:00:00"/>
    <n v="51000"/>
    <n v="90"/>
    <n v="93"/>
    <n v="28"/>
    <n v="33150"/>
    <n v="1400"/>
    <n v="11220"/>
    <n v="-3"/>
    <x v="0"/>
    <n v="0"/>
    <n v="0.10254901960784313"/>
    <n v="46256.446736617465"/>
  </r>
  <r>
    <x v="41"/>
    <x v="28"/>
    <x v="40"/>
    <s v="Steel Structure"/>
    <x v="36"/>
    <d v="2019-12-13T00:00:00"/>
    <n v="74000"/>
    <n v="7"/>
    <n v="7"/>
    <n v="40"/>
    <n v="46620"/>
    <n v="2000"/>
    <n v="15540"/>
    <n v="0"/>
    <x v="0"/>
    <n v="0"/>
    <n v="0.13297297297297295"/>
    <n v="65314.885496183211"/>
  </r>
  <r>
    <x v="42"/>
    <x v="29"/>
    <x v="41"/>
    <s v="Steel Structure"/>
    <x v="37"/>
    <d v="2019-12-26T00:00:00"/>
    <n v="222316"/>
    <n v="19"/>
    <n v="20"/>
    <n v="119"/>
    <n v="133389.6"/>
    <n v="5950"/>
    <n v="44463.200000000004"/>
    <n v="-1"/>
    <x v="0"/>
    <n v="0"/>
    <n v="0.17323629428381215"/>
    <n v="189489.53512873559"/>
  </r>
  <r>
    <x v="43"/>
    <x v="30"/>
    <x v="42"/>
    <s v="Steel Structure"/>
    <x v="38"/>
    <d v="2019-12-10T00:00:00"/>
    <n v="23500"/>
    <n v="2"/>
    <n v="2"/>
    <n v="13"/>
    <n v="15275"/>
    <n v="650"/>
    <n v="5170"/>
    <n v="0"/>
    <x v="0"/>
    <n v="0"/>
    <n v="0.10234042553191491"/>
    <n v="21318.278324647752"/>
  </r>
  <r>
    <x v="44"/>
    <x v="31"/>
    <x v="41"/>
    <s v="Steel Structure"/>
    <x v="39"/>
    <d v="2019-12-15T00:00:00"/>
    <n v="64540"/>
    <n v="6"/>
    <n v="14"/>
    <n v="35"/>
    <n v="40660.199999999997"/>
    <n v="1750"/>
    <n v="13553.4"/>
    <n v="-8"/>
    <x v="0"/>
    <n v="0"/>
    <n v="0.13288503253796102"/>
    <n v="56969.593688967172"/>
  </r>
  <r>
    <x v="45"/>
    <x v="32"/>
    <x v="41"/>
    <s v="Steel Structure"/>
    <x v="40"/>
    <d v="2019-08-17T00:00:00"/>
    <n v="74000"/>
    <n v="7"/>
    <n v="9"/>
    <n v="40"/>
    <n v="44400"/>
    <n v="2000"/>
    <n v="14800"/>
    <n v="-2"/>
    <x v="0"/>
    <n v="0"/>
    <n v="0.17297297297297298"/>
    <n v="63087.557603686633"/>
  </r>
  <r>
    <x v="46"/>
    <x v="33"/>
    <x v="43"/>
    <s v="Steel Structure"/>
    <x v="41"/>
    <d v="2019-09-15T00:00:00"/>
    <n v="47112"/>
    <n v="4"/>
    <n v="9"/>
    <n v="26"/>
    <n v="30622.799999999999"/>
    <n v="1300"/>
    <n v="10364.64"/>
    <n v="-5"/>
    <x v="0"/>
    <n v="0"/>
    <n v="0.10240618101545251"/>
    <n v="42735.609443521091"/>
  </r>
  <r>
    <x v="47"/>
    <x v="34"/>
    <x v="44"/>
    <s v="Steel Structure"/>
    <x v="42"/>
    <d v="2019-03-17T00:00:00"/>
    <n v="59491"/>
    <n v="5"/>
    <n v="6"/>
    <n v="32"/>
    <n v="37479.33"/>
    <n v="1600"/>
    <n v="12493.109999999999"/>
    <n v="-1"/>
    <x v="0"/>
    <n v="0"/>
    <n v="0.13310517557277568"/>
    <n v="52502.628425404349"/>
  </r>
  <r>
    <x v="48"/>
    <x v="35"/>
    <x v="44"/>
    <s v="Steel Structure"/>
    <x v="43"/>
    <d v="2019-05-14T00:00:00"/>
    <n v="6000"/>
    <n v="1"/>
    <n v="11"/>
    <n v="4"/>
    <n v="3600"/>
    <n v="200"/>
    <n v="1200"/>
    <n v="-10"/>
    <x v="0"/>
    <n v="0"/>
    <n v="0.16666666666666663"/>
    <n v="5142.8571428571431"/>
  </r>
  <r>
    <x v="49"/>
    <x v="36"/>
    <x v="41"/>
    <s v="Steel Structure"/>
    <x v="44"/>
    <d v="2019-02-16T00:00:00"/>
    <n v="23000"/>
    <n v="2"/>
    <n v="5"/>
    <n v="13"/>
    <n v="14950"/>
    <n v="650"/>
    <n v="5060"/>
    <n v="-3"/>
    <x v="0"/>
    <n v="0"/>
    <n v="0.10173913043478255"/>
    <n v="20876.085240726126"/>
  </r>
  <r>
    <x v="50"/>
    <x v="37"/>
    <x v="45"/>
    <s v="Steel Structure"/>
    <x v="45"/>
    <d v="2019-12-16T00:00:00"/>
    <n v="4466"/>
    <n v="1"/>
    <n v="1"/>
    <n v="3"/>
    <n v="2813.58"/>
    <n v="150"/>
    <n v="937.86"/>
    <n v="0"/>
    <x v="0"/>
    <n v="0"/>
    <n v="0.12641289744738016"/>
    <n v="3964.7983524697052"/>
  </r>
  <r>
    <x v="51"/>
    <x v="38"/>
    <x v="44"/>
    <s v="Steel Structure"/>
    <x v="46"/>
    <d v="2019-03-17T00:00:00"/>
    <n v="5500"/>
    <n v="1"/>
    <n v="2"/>
    <n v="3"/>
    <n v="3300"/>
    <n v="150"/>
    <n v="1100"/>
    <n v="-1"/>
    <x v="0"/>
    <n v="0"/>
    <n v="0.17272727272727273"/>
    <n v="4689.9224806201546"/>
  </r>
  <r>
    <x v="52"/>
    <x v="39"/>
    <x v="41"/>
    <s v="Steel Structure"/>
    <x v="47"/>
    <d v="2019-01-21T00:00:00"/>
    <n v="40000"/>
    <n v="4"/>
    <n v="4"/>
    <n v="22"/>
    <n v="26000"/>
    <n v="1100"/>
    <n v="8800"/>
    <n v="0"/>
    <x v="0"/>
    <n v="0"/>
    <n v="0.10250000000000004"/>
    <n v="36281.179138321997"/>
  </r>
  <r>
    <x v="53"/>
    <x v="40"/>
    <x v="44"/>
    <s v="Steel Structure"/>
    <x v="48"/>
    <d v="2019-12-19T00:00:00"/>
    <n v="11364"/>
    <n v="1"/>
    <n v="9"/>
    <n v="7"/>
    <n v="7159.32"/>
    <n v="350"/>
    <n v="2386.44"/>
    <n v="-8"/>
    <x v="0"/>
    <n v="0"/>
    <n v="0.12920098556846182"/>
    <n v="10063.753171698783"/>
  </r>
  <r>
    <x v="54"/>
    <x v="41"/>
    <x v="46"/>
    <s v="Steel Structure"/>
    <x v="49"/>
    <d v="2019-04-17T00:00:00"/>
    <n v="17000"/>
    <n v="2"/>
    <n v="4"/>
    <n v="10"/>
    <n v="10200"/>
    <n v="500"/>
    <n v="3400"/>
    <n v="-2"/>
    <x v="0"/>
    <n v="0"/>
    <n v="0.1705882352941176"/>
    <n v="14522.613065326635"/>
  </r>
  <r>
    <x v="55"/>
    <x v="42"/>
    <x v="47"/>
    <s v="Steel Structure"/>
    <x v="50"/>
    <d v="2019-12-22T00:00:00"/>
    <n v="17957"/>
    <n v="2"/>
    <n v="7"/>
    <n v="10"/>
    <n v="11672.050000000001"/>
    <n v="500"/>
    <n v="3950.54"/>
    <n v="-5"/>
    <x v="0"/>
    <n v="0"/>
    <n v="0.10215570529598483"/>
    <n v="16292.61629161338"/>
  </r>
  <r>
    <x v="56"/>
    <x v="43"/>
    <x v="48"/>
    <s v="Steel Structure"/>
    <x v="51"/>
    <d v="2019-12-24T00:00:00"/>
    <n v="25720"/>
    <n v="3"/>
    <n v="4"/>
    <n v="14"/>
    <n v="16203.6"/>
    <n v="700"/>
    <n v="5401.2"/>
    <n v="-1"/>
    <x v="0"/>
    <n v="0"/>
    <n v="0.13278382581648529"/>
    <n v="22705.126444987505"/>
  </r>
  <r>
    <x v="57"/>
    <x v="44"/>
    <x v="44"/>
    <s v="Steel Structure"/>
    <x v="52"/>
    <d v="2019-12-23T00:00:00"/>
    <n v="7560"/>
    <n v="1"/>
    <n v="11"/>
    <n v="5"/>
    <n v="4536"/>
    <n v="250"/>
    <n v="1512"/>
    <n v="-10"/>
    <x v="0"/>
    <n v="0"/>
    <n v="0.16693121693121693"/>
    <n v="6478.5309453638629"/>
  </r>
  <r>
    <x v="58"/>
    <x v="45"/>
    <x v="49"/>
    <s v="Steel Structure"/>
    <x v="53"/>
    <d v="2019-12-24T00:00:00"/>
    <n v="12000"/>
    <n v="1"/>
    <n v="4"/>
    <n v="7"/>
    <n v="7800"/>
    <n v="350"/>
    <n v="2640"/>
    <n v="-3"/>
    <x v="0"/>
    <n v="0"/>
    <n v="0.10083333333333333"/>
    <n v="10900.832702498108"/>
  </r>
  <r>
    <x v="59"/>
    <x v="46"/>
    <x v="50"/>
    <s v="Steel Structure"/>
    <x v="54"/>
    <d v="2020-06-01T00:00:00"/>
    <n v="360000"/>
    <n v="30"/>
    <n v="30"/>
    <n v="192"/>
    <n v="226800"/>
    <n v="9600"/>
    <n v="75600"/>
    <n v="0"/>
    <x v="0"/>
    <n v="9864"/>
    <n v="0.1333333333333333"/>
    <n v="317647.0588235294"/>
  </r>
  <r>
    <x v="60"/>
    <x v="46"/>
    <x v="51"/>
    <s v="Steel Structure"/>
    <x v="55"/>
    <d v="2020-03-12T00:00:00"/>
    <n v="720000"/>
    <n v="60"/>
    <n v="61"/>
    <n v="384"/>
    <n v="432000"/>
    <n v="19200"/>
    <n v="144000"/>
    <n v="-1"/>
    <x v="0"/>
    <n v="0"/>
    <n v="0.17333333333333334"/>
    <n v="613636.36363636365"/>
  </r>
  <r>
    <x v="61"/>
    <x v="47"/>
    <x v="52"/>
    <s v="Steel Structure"/>
    <x v="56"/>
    <d v="2020-01-15T00:00:00"/>
    <n v="130000"/>
    <n v="11"/>
    <n v="11"/>
    <n v="70"/>
    <n v="84500"/>
    <n v="3500"/>
    <n v="28600"/>
    <n v="0"/>
    <x v="0"/>
    <n v="-12205"/>
    <n v="0.10307692307692307"/>
    <n v="117852.16178521617"/>
  </r>
  <r>
    <x v="62"/>
    <x v="48"/>
    <x v="53"/>
    <s v="Steel Structure"/>
    <x v="57"/>
    <d v="2020-02-18T00:00:00"/>
    <n v="285935"/>
    <n v="24"/>
    <n v="32"/>
    <n v="153"/>
    <n v="180139.05"/>
    <n v="7650"/>
    <n v="60046.35"/>
    <n v="-8"/>
    <x v="0"/>
    <n v="0"/>
    <n v="0.133245667721685"/>
    <n v="252315.10531591377"/>
  </r>
  <r>
    <x v="63"/>
    <x v="49"/>
    <x v="54"/>
    <s v="Steel Structure"/>
    <x v="58"/>
    <d v="2020-02-22T00:00:00"/>
    <n v="80000"/>
    <n v="7"/>
    <n v="9"/>
    <n v="43"/>
    <n v="48000"/>
    <n v="2150"/>
    <n v="16000"/>
    <n v="-2"/>
    <x v="0"/>
    <n v="0"/>
    <n v="0.17312499999999997"/>
    <n v="68193.926478423018"/>
  </r>
  <r>
    <x v="64"/>
    <x v="50"/>
    <x v="55"/>
    <s v="Steel Structure"/>
    <x v="59"/>
    <d v="2021-02-28T00:00:00"/>
    <n v="113000"/>
    <n v="10"/>
    <n v="15"/>
    <n v="61"/>
    <n v="73450"/>
    <n v="3050"/>
    <n v="24860"/>
    <n v="-5"/>
    <x v="0"/>
    <n v="0"/>
    <n v="0.1030088495575221"/>
    <n v="102447.04749679076"/>
  </r>
  <r>
    <x v="65"/>
    <x v="51"/>
    <x v="56"/>
    <s v="Steel Structure"/>
    <x v="60"/>
    <d v="2021-03-01T00:00:00"/>
    <n v="75213"/>
    <n v="7"/>
    <n v="8"/>
    <n v="41"/>
    <n v="47384.19"/>
    <n v="2050"/>
    <n v="15794.73"/>
    <n v="-1"/>
    <x v="0"/>
    <n v="0"/>
    <n v="0.1327440734979326"/>
    <n v="66398.934904811293"/>
  </r>
  <r>
    <x v="66"/>
    <x v="52"/>
    <x v="41"/>
    <s v="Steel Structure"/>
    <x v="61"/>
    <d v="2021-03-31T00:00:00"/>
    <n v="45900"/>
    <n v="4"/>
    <n v="14"/>
    <n v="25"/>
    <n v="27540"/>
    <n v="1250"/>
    <n v="9180"/>
    <n v="-10"/>
    <x v="0"/>
    <n v="0"/>
    <n v="0.17276688453159039"/>
    <n v="39138.212892439158"/>
  </r>
  <r>
    <x v="67"/>
    <x v="53"/>
    <x v="57"/>
    <s v="Steel Structure"/>
    <x v="62"/>
    <d v="2021-02-20T00:00:00"/>
    <n v="36000"/>
    <n v="3"/>
    <n v="6"/>
    <n v="20"/>
    <n v="23400"/>
    <n v="1000"/>
    <n v="7920"/>
    <n v="-3"/>
    <x v="0"/>
    <n v="0"/>
    <n v="0.10222222222222221"/>
    <n v="32661.290322580644"/>
  </r>
  <r>
    <x v="68"/>
    <x v="54"/>
    <x v="41"/>
    <s v="Steel Structure"/>
    <x v="63"/>
    <d v="2021-05-13T00:00:00"/>
    <n v="23000"/>
    <n v="2"/>
    <n v="2"/>
    <n v="13"/>
    <n v="14490"/>
    <n v="650"/>
    <n v="4830"/>
    <n v="0"/>
    <x v="0"/>
    <n v="0"/>
    <n v="0.13173913043478258"/>
    <n v="20322.704571648097"/>
  </r>
  <r>
    <x v="69"/>
    <x v="28"/>
    <x v="58"/>
    <s v="Steel Structure"/>
    <x v="64"/>
    <d v="2022-05-24T00:00:00"/>
    <n v="13000"/>
    <n v="2"/>
    <n v="3"/>
    <n v="7"/>
    <n v="7800"/>
    <n v="350"/>
    <n v="2600"/>
    <n v="-1"/>
    <x v="0"/>
    <n v="0"/>
    <n v="0.17307692307692313"/>
    <n v="11081.967213114754"/>
  </r>
  <r>
    <x v="70"/>
    <x v="55"/>
    <x v="59"/>
    <s v="Steel Structure"/>
    <x v="65"/>
    <d v="2022-05-22T00:00:00"/>
    <n v="30715"/>
    <n v="3"/>
    <n v="3"/>
    <n v="17"/>
    <n v="19964.75"/>
    <n v="850"/>
    <n v="6757.3"/>
    <n v="0"/>
    <x v="0"/>
    <n v="0"/>
    <n v="0.10232622497151234"/>
    <n v="27863.802297540165"/>
  </r>
  <r>
    <x v="71"/>
    <x v="56"/>
    <x v="41"/>
    <s v="Steel Structure"/>
    <x v="66"/>
    <d v="2022-06-02T00:00:00"/>
    <n v="44000"/>
    <n v="4"/>
    <n v="12"/>
    <n v="24"/>
    <n v="27720"/>
    <n v="1200"/>
    <n v="9240"/>
    <n v="-8"/>
    <x v="0"/>
    <n v="12250"/>
    <n v="0.13272727272727269"/>
    <n v="38844.301765650074"/>
  </r>
  <r>
    <x v="72"/>
    <x v="57"/>
    <x v="60"/>
    <s v="Steel Structure"/>
    <x v="67"/>
    <d v="2022-06-06T00:00:00"/>
    <n v="27950"/>
    <n v="3"/>
    <n v="5"/>
    <n v="15"/>
    <n v="16770"/>
    <n v="750"/>
    <n v="5590"/>
    <n v="-2"/>
    <x v="0"/>
    <n v="0"/>
    <n v="0.17316636851520573"/>
    <n v="23824.412930771578"/>
  </r>
  <r>
    <x v="73"/>
    <x v="22"/>
    <x v="61"/>
    <s v="Steel Structure"/>
    <x v="68"/>
    <d v="2022-07-04T00:00:00"/>
    <n v="17780"/>
    <n v="2"/>
    <n v="7"/>
    <n v="10"/>
    <n v="11557"/>
    <n v="500"/>
    <n v="3911.6"/>
    <n v="-5"/>
    <x v="0"/>
    <n v="38718"/>
    <n v="0.10187851518560176"/>
    <n v="16136.080116785935"/>
  </r>
  <r>
    <x v="74"/>
    <x v="58"/>
    <x v="41"/>
    <s v="Steel Structure"/>
    <x v="69"/>
    <d v="2022-08-02T00:00:00"/>
    <n v="45000"/>
    <n v="4"/>
    <n v="5"/>
    <n v="24"/>
    <n v="28350"/>
    <n v="1200"/>
    <n v="9450"/>
    <n v="-1"/>
    <x v="0"/>
    <n v="-5000"/>
    <n v="0.1333333333333333"/>
    <n v="39705.882352941175"/>
  </r>
  <r>
    <x v="75"/>
    <x v="59"/>
    <x v="62"/>
    <s v="Steel Structure"/>
    <x v="70"/>
    <d v="2022-07-05T00:00:00"/>
    <n v="16000"/>
    <n v="2"/>
    <n v="12"/>
    <n v="9"/>
    <n v="9600"/>
    <n v="450"/>
    <n v="3200"/>
    <n v="-10"/>
    <x v="0"/>
    <n v="0"/>
    <n v="0.171875"/>
    <n v="13653.333333333334"/>
  </r>
  <r>
    <x v="76"/>
    <x v="60"/>
    <x v="63"/>
    <s v="Steel Structure"/>
    <x v="71"/>
    <d v="2022-07-15T00:00:00"/>
    <n v="100000"/>
    <n v="9"/>
    <n v="12"/>
    <n v="54"/>
    <n v="65000"/>
    <n v="2700"/>
    <n v="22000"/>
    <n v="-3"/>
    <x v="0"/>
    <n v="9800"/>
    <n v="0.10299999999999998"/>
    <n v="90661.831368993662"/>
  </r>
  <r>
    <x v="77"/>
    <x v="61"/>
    <x v="30"/>
    <s v="Steel Structure"/>
    <x v="72"/>
    <d v="2022-07-20T00:00:00"/>
    <n v="52000"/>
    <n v="5"/>
    <n v="5"/>
    <n v="28"/>
    <n v="32760"/>
    <n v="1400"/>
    <n v="10920"/>
    <n v="0"/>
    <x v="0"/>
    <n v="0"/>
    <n v="0.13307692307692309"/>
    <n v="45892.735913102508"/>
  </r>
  <r>
    <x v="78"/>
    <x v="62"/>
    <x v="30"/>
    <s v="Steel Structure"/>
    <x v="73"/>
    <d v="2022-07-27T00:00:00"/>
    <n v="35700"/>
    <n v="3"/>
    <n v="4"/>
    <n v="20"/>
    <n v="21420"/>
    <n v="1000"/>
    <n v="7140"/>
    <n v="-1"/>
    <x v="0"/>
    <n v="0"/>
    <n v="0.17198879551820734"/>
    <n v="30461.042065009558"/>
  </r>
  <r>
    <x v="79"/>
    <x v="63"/>
    <x v="30"/>
    <s v="Steel Structure"/>
    <x v="74"/>
    <d v="2022-07-12T00:00:00"/>
    <n v="40000"/>
    <n v="4"/>
    <n v="4"/>
    <n v="22"/>
    <n v="26000"/>
    <n v="1100"/>
    <n v="8800"/>
    <n v="0"/>
    <x v="0"/>
    <n v="8000"/>
    <n v="0.10250000000000004"/>
    <n v="36281.179138321997"/>
  </r>
  <r>
    <x v="80"/>
    <x v="64"/>
    <x v="30"/>
    <s v="Steel Structure"/>
    <x v="75"/>
    <d v="2022-08-30T00:00:00"/>
    <n v="80500"/>
    <n v="7"/>
    <n v="15"/>
    <n v="43"/>
    <n v="50715"/>
    <n v="2150"/>
    <n v="16905"/>
    <n v="-8"/>
    <x v="0"/>
    <n v="47000"/>
    <n v="0.13329192546583846"/>
    <n v="71032.007015236217"/>
  </r>
  <r>
    <x v="81"/>
    <x v="65"/>
    <x v="64"/>
    <s v="Steel Structure"/>
    <x v="76"/>
    <d v="2022-08-24T00:00:00"/>
    <n v="126000"/>
    <n v="11"/>
    <n v="13"/>
    <n v="68"/>
    <n v="75600"/>
    <n v="3400"/>
    <n v="25200"/>
    <n v="-2"/>
    <x v="0"/>
    <n v="0"/>
    <n v="0.17301587301587307"/>
    <n v="107415.42625169148"/>
  </r>
  <r>
    <x v="82"/>
    <x v="66"/>
    <x v="65"/>
    <s v="Steel Structure"/>
    <x v="77"/>
    <d v="2022-08-29T00:00:00"/>
    <n v="41000"/>
    <n v="4"/>
    <n v="9"/>
    <n v="22"/>
    <n v="26650"/>
    <n v="1100"/>
    <n v="9020"/>
    <n v="-5"/>
    <x v="0"/>
    <n v="65975"/>
    <n v="0.10317073170731705"/>
    <n v="37165.598054388684"/>
  </r>
  <r>
    <x v="83"/>
    <x v="67"/>
    <x v="63"/>
    <s v="Steel Structure"/>
    <x v="78"/>
    <d v="2022-09-20T00:00:00"/>
    <n v="200000"/>
    <n v="17"/>
    <n v="18"/>
    <n v="107"/>
    <n v="130000"/>
    <n v="5350"/>
    <n v="42000"/>
    <n v="-1"/>
    <x v="0"/>
    <n v="17250"/>
    <n v="0.11324999999999996"/>
    <n v="179654.16573096791"/>
  </r>
  <r>
    <x v="84"/>
    <x v="68"/>
    <x v="66"/>
    <s v="Steel Structure"/>
    <x v="79"/>
    <d v="2022-09-10T00:00:00"/>
    <n v="58000"/>
    <n v="5"/>
    <n v="15"/>
    <n v="31"/>
    <n v="35960"/>
    <n v="1550"/>
    <n v="11600"/>
    <n v="-10"/>
    <x v="0"/>
    <n v="0"/>
    <n v="0.15327586206896548"/>
    <n v="50291.523396621327"/>
  </r>
  <r>
    <x v="85"/>
    <x v="69"/>
    <x v="67"/>
    <s v="Steel Structure"/>
    <x v="80"/>
    <d v="2022-09-18T00:00:00"/>
    <n v="102000"/>
    <n v="9"/>
    <n v="12"/>
    <n v="55"/>
    <n v="68340"/>
    <n v="2750"/>
    <n v="22440"/>
    <n v="-3"/>
    <x v="0"/>
    <n v="2961"/>
    <n v="8.3039215686274481E-2"/>
    <n v="94179.415225853169"/>
  </r>
  <r>
    <x v="86"/>
    <x v="70"/>
    <x v="30"/>
    <s v="Steel Structure"/>
    <x v="81"/>
    <d v="2022-09-19T00:00:00"/>
    <n v="77000"/>
    <n v="7"/>
    <n v="7"/>
    <n v="42"/>
    <n v="46970"/>
    <n v="2100"/>
    <n v="16170"/>
    <n v="0"/>
    <x v="0"/>
    <n v="0"/>
    <n v="0.15272727272727271"/>
    <n v="66798.107255520503"/>
  </r>
  <r>
    <x v="87"/>
    <x v="62"/>
    <x v="30"/>
    <s v="Steel Structure"/>
    <x v="82"/>
    <d v="2022-11-01T00:00:00"/>
    <n v="20000"/>
    <n v="2"/>
    <n v="3"/>
    <n v="11"/>
    <n v="12400"/>
    <n v="550"/>
    <n v="4000"/>
    <n v="-1"/>
    <x v="0"/>
    <n v="0"/>
    <n v="0.15249999999999997"/>
    <n v="17353.579175704992"/>
  </r>
  <r>
    <x v="88"/>
    <x v="71"/>
    <x v="68"/>
    <s v="Steel Structure"/>
    <x v="83"/>
    <d v="2022-10-17T00:00:00"/>
    <n v="12200"/>
    <n v="2"/>
    <n v="2"/>
    <n v="7"/>
    <n v="6832.0000000000009"/>
    <n v="350"/>
    <n v="2684"/>
    <n v="0"/>
    <x v="0"/>
    <n v="0"/>
    <n v="0.19131147540983606"/>
    <n v="10240.814641530204"/>
  </r>
  <r>
    <x v="89"/>
    <x v="72"/>
    <x v="69"/>
    <s v="Steel Structure"/>
    <x v="84"/>
    <d v="2022-10-21T00:00:00"/>
    <n v="33000"/>
    <n v="3"/>
    <n v="11"/>
    <n v="18"/>
    <n v="20790"/>
    <n v="900"/>
    <n v="6930"/>
    <n v="-8"/>
    <x v="0"/>
    <n v="0"/>
    <n v="0.13272727272727269"/>
    <n v="29133.226324237559"/>
  </r>
  <r>
    <x v="90"/>
    <x v="73"/>
    <x v="30"/>
    <s v="Steel Structure"/>
    <x v="85"/>
    <d v="2022-10-11T00:00:00"/>
    <n v="72000"/>
    <n v="6"/>
    <n v="8"/>
    <n v="39"/>
    <n v="46800"/>
    <n v="1950"/>
    <n v="14400"/>
    <n v="-2"/>
    <x v="0"/>
    <n v="0"/>
    <n v="0.12291666666666667"/>
    <n v="64118.738404452684"/>
  </r>
  <r>
    <x v="91"/>
    <x v="74"/>
    <x v="70"/>
    <s v="Steel Structure"/>
    <x v="86"/>
    <d v="2022-10-21T00:00:00"/>
    <n v="52000"/>
    <n v="5"/>
    <n v="10"/>
    <n v="28"/>
    <n v="28600.000000000004"/>
    <n v="1400"/>
    <n v="11440"/>
    <n v="-5"/>
    <x v="0"/>
    <n v="0"/>
    <n v="0.20307692307692304"/>
    <n v="43222.506393861891"/>
  </r>
  <r>
    <x v="92"/>
    <x v="75"/>
    <x v="44"/>
    <s v="Steel Structure"/>
    <x v="87"/>
    <d v="2022-10-24T00:00:00"/>
    <n v="11800"/>
    <n v="1"/>
    <n v="2"/>
    <n v="7"/>
    <n v="6962"/>
    <n v="350"/>
    <n v="2478"/>
    <n v="-1"/>
    <x v="0"/>
    <n v="0"/>
    <n v="0.17033898305084749"/>
    <n v="10082.548877624909"/>
  </r>
  <r>
    <x v="93"/>
    <x v="76"/>
    <x v="71"/>
    <s v="Steel Structure"/>
    <x v="88"/>
    <d v="2022-10-28T00:00:00"/>
    <n v="31912"/>
    <n v="3"/>
    <n v="13"/>
    <n v="18"/>
    <n v="19147.2"/>
    <n v="900"/>
    <n v="6382.4000000000005"/>
    <n v="-10"/>
    <x v="0"/>
    <n v="0"/>
    <n v="0.17179744296816235"/>
    <n v="27233.375692617079"/>
  </r>
  <r>
    <x v="94"/>
    <x v="77"/>
    <x v="72"/>
    <s v="Steel Structure"/>
    <x v="84"/>
    <d v="2022-10-28T00:00:00"/>
    <n v="115000"/>
    <n v="10"/>
    <n v="13"/>
    <n v="62"/>
    <n v="75900"/>
    <n v="3100"/>
    <n v="25300"/>
    <n v="-3"/>
    <x v="0"/>
    <n v="10000"/>
    <n v="9.3043478260869561E-2"/>
    <n v="105210.81941129673"/>
  </r>
  <r>
    <x v="95"/>
    <x v="78"/>
    <x v="30"/>
    <s v="Steel Structure"/>
    <x v="89"/>
    <d v="2023-01-13T00:00:00"/>
    <n v="68000"/>
    <n v="6"/>
    <n v="6"/>
    <n v="37"/>
    <n v="40120"/>
    <n v="1850"/>
    <n v="14280"/>
    <n v="0"/>
    <x v="0"/>
    <n v="0"/>
    <n v="0.17279411764705888"/>
    <n v="57981.191222570531"/>
  </r>
  <r>
    <x v="96"/>
    <x v="79"/>
    <x v="30"/>
    <s v="Steel Structure"/>
    <x v="90"/>
    <d v="2023-01-18T00:00:00"/>
    <n v="30000"/>
    <n v="3"/>
    <n v="4"/>
    <n v="16"/>
    <n v="18600"/>
    <n v="800"/>
    <n v="6000"/>
    <n v="-1"/>
    <x v="0"/>
    <n v="0"/>
    <n v="0.15333333333333332"/>
    <n v="26011.560693641619"/>
  </r>
  <r>
    <x v="97"/>
    <x v="80"/>
    <x v="30"/>
    <s v="Steel Structure"/>
    <x v="91"/>
    <d v="2023-01-10T00:00:00"/>
    <n v="50000"/>
    <n v="5"/>
    <n v="5"/>
    <n v="27"/>
    <n v="30500"/>
    <n v="1350"/>
    <n v="11000"/>
    <n v="0"/>
    <x v="0"/>
    <n v="0"/>
    <n v="0.14300000000000002"/>
    <n v="43744.531933508311"/>
  </r>
  <r>
    <x v="98"/>
    <x v="81"/>
    <x v="30"/>
    <s v="Steel Structure"/>
    <x v="92"/>
    <d v="2023-06-14T00:00:00"/>
    <n v="43000"/>
    <n v="4"/>
    <n v="12"/>
    <n v="23"/>
    <n v="25370"/>
    <n v="1150"/>
    <n v="9030"/>
    <n v="-8"/>
    <x v="0"/>
    <n v="0"/>
    <n v="0.17325581395348832"/>
    <n v="36650.148662041625"/>
  </r>
  <r>
    <x v="99"/>
    <x v="82"/>
    <x v="30"/>
    <s v="Steel Structure"/>
    <x v="93"/>
    <d v="2023-07-21T00:00:00"/>
    <n v="100000"/>
    <n v="9"/>
    <n v="11"/>
    <n v="54"/>
    <n v="55000.000000000007"/>
    <n v="2700"/>
    <n v="20000"/>
    <n v="-2"/>
    <x v="0"/>
    <n v="0"/>
    <n v="0.22299999999999998"/>
    <n v="81766.14881439085"/>
  </r>
  <r>
    <x v="100"/>
    <x v="83"/>
    <x v="30"/>
    <s v="Steel Structure"/>
    <x v="94"/>
    <d v="2024-01-20T00:00:00"/>
    <n v="1711000"/>
    <n v="143"/>
    <n v="148"/>
    <n v="913"/>
    <n v="1146370"/>
    <n v="45650"/>
    <n v="376420"/>
    <n v="-5"/>
    <x v="0"/>
    <n v="0"/>
    <n v="8.3319696084161343E-2"/>
    <n v="1579404.4972916981"/>
  </r>
  <r>
    <x v="101"/>
    <x v="84"/>
    <x v="30"/>
    <s v="Steel Structure"/>
    <x v="95"/>
    <d v="2023-12-15T00:00:00"/>
    <n v="100000"/>
    <n v="9"/>
    <n v="10"/>
    <n v="54"/>
    <n v="68000"/>
    <n v="2700"/>
    <n v="21000"/>
    <n v="-1"/>
    <x v="0"/>
    <n v="0"/>
    <n v="8.2999999999999963E-2"/>
    <n v="92336.103416435828"/>
  </r>
  <r>
    <x v="102"/>
    <x v="85"/>
    <x v="44"/>
    <s v="Steel Structure"/>
    <x v="96"/>
    <d v="2023-06-16T00:00:00"/>
    <n v="18000"/>
    <n v="2"/>
    <n v="12"/>
    <n v="10"/>
    <n v="8100"/>
    <n v="500"/>
    <n v="3600"/>
    <n v="-10"/>
    <x v="0"/>
    <n v="1"/>
    <n v="0.32222222222222219"/>
    <n v="13613.44537815126"/>
  </r>
  <r>
    <x v="103"/>
    <x v="68"/>
    <x v="73"/>
    <s v="Steel Structure"/>
    <x v="97"/>
    <d v="2023-06-23T00:00:00"/>
    <n v="95000"/>
    <n v="8"/>
    <n v="11"/>
    <n v="51"/>
    <n v="61750"/>
    <n v="2550"/>
    <n v="20900"/>
    <n v="-3"/>
    <x v="0"/>
    <n v="2"/>
    <n v="0.10315789473684212"/>
    <n v="86116.412213740463"/>
  </r>
  <r>
    <x v="104"/>
    <x v="8"/>
    <x v="74"/>
    <s v="Steel Structure"/>
    <x v="98"/>
    <d v="2023-12-15T00:00:00"/>
    <n v="2175000"/>
    <n v="182"/>
    <n v="182"/>
    <n v="1160"/>
    <n v="1370250"/>
    <n v="58000"/>
    <n v="456750"/>
    <n v="0"/>
    <x v="0"/>
    <n v="3"/>
    <n v="0.1333333333333333"/>
    <n v="1919117.647058823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n v="1"/>
    <s v="حدود العمري"/>
    <x v="0"/>
    <s v="Steel Structure"/>
    <d v="2017-10-04T00:00:00"/>
    <d v="2018-01-02T00:00:00"/>
    <n v="152794"/>
    <n v="90"/>
    <n v="92"/>
    <n v="82"/>
    <n v="91676.4"/>
    <n v="4100"/>
    <n v="30558.800000000003"/>
    <n v="-2"/>
    <s v="DSC Steel"/>
    <n v="32206"/>
    <n v="0.17316648559498415"/>
    <n v="130240.67928646023"/>
    <n v="2017"/>
    <n v="700"/>
  </r>
  <r>
    <n v="2"/>
    <s v="حدودالعمري"/>
    <x v="1"/>
    <s v="Steel Structure"/>
    <d v="2017-12-28T00:00:00"/>
    <d v="2018-06-26T00:00:00"/>
    <n v="187923"/>
    <n v="180"/>
    <n v="185"/>
    <n v="101"/>
    <n v="122149.95"/>
    <n v="5050"/>
    <n v="41343.06"/>
    <n v="-5"/>
    <s v="DSC Steel"/>
    <n v="0"/>
    <n v="0.10312729149704924"/>
    <n v="170354.77360456789"/>
    <n v="2017"/>
    <n v="500"/>
  </r>
  <r>
    <n v="3"/>
    <s v="شركة الركائز للاستثمار"/>
    <x v="2"/>
    <s v="Steel Structure"/>
    <d v="2018-02-11T00:00:00"/>
    <d v="2018-06-11T00:00:00"/>
    <n v="86500"/>
    <n v="120"/>
    <n v="121"/>
    <n v="47"/>
    <n v="54495"/>
    <n v="2350"/>
    <n v="18165"/>
    <n v="-1"/>
    <s v="DSC Steel"/>
    <n v="0"/>
    <n v="0.13283236994219649"/>
    <n v="76357.281355240339"/>
    <n v="2018"/>
    <n v="1200"/>
  </r>
  <r>
    <n v="4"/>
    <s v="الديوان الملكي العامر"/>
    <x v="3"/>
    <s v="Steel Structure"/>
    <d v="2018-03-11T00:00:00"/>
    <d v="2018-06-09T00:00:00"/>
    <n v="47000"/>
    <n v="90"/>
    <n v="100"/>
    <n v="26"/>
    <n v="28200"/>
    <n v="1300"/>
    <n v="9400"/>
    <n v="-10"/>
    <s v="DSC Steel"/>
    <n v="0"/>
    <n v="0.17234042553191486"/>
    <n v="40090.744101633398"/>
    <n v="2018"/>
    <n v="560"/>
  </r>
  <r>
    <n v="5"/>
    <s v="شركة المدن الصناعية"/>
    <x v="4"/>
    <s v="Steel Structure"/>
    <d v="2018-04-22T00:00:00"/>
    <d v="2018-10-19T00:00:00"/>
    <n v="466900"/>
    <n v="180"/>
    <n v="183"/>
    <n v="250"/>
    <n v="303485"/>
    <n v="12500"/>
    <n v="116725"/>
    <n v="-3"/>
    <s v="DSC Steel"/>
    <n v="0"/>
    <n v="7.3227671878346556E-2"/>
    <n v="435042.82663792936"/>
    <n v="2018"/>
    <n v="10000"/>
  </r>
  <r>
    <n v="6"/>
    <s v="شركة المدن الصناعية"/>
    <x v="5"/>
    <s v="Steel Structure"/>
    <d v="2018-06-20T00:00:00"/>
    <d v="2019-02-15T00:00:00"/>
    <n v="1120000"/>
    <n v="240"/>
    <n v="240"/>
    <n v="598"/>
    <n v="705600"/>
    <n v="29900"/>
    <n v="313600.00000000006"/>
    <n v="0"/>
    <s v="DSC Steel"/>
    <n v="-73832"/>
    <n v="6.3303571428571459E-2"/>
    <n v="1053321.0177176925"/>
    <n v="2018"/>
    <n v="9800"/>
  </r>
  <r>
    <n v="7"/>
    <s v="شركة المدن الصناعية "/>
    <x v="6"/>
    <s v="Steel Structure"/>
    <d v="2018-06-20T00:00:00"/>
    <d v="2019-02-15T00:00:00"/>
    <n v="1130000"/>
    <n v="240"/>
    <n v="241"/>
    <n v="603"/>
    <n v="678000"/>
    <n v="30150"/>
    <n v="226000"/>
    <n v="-1"/>
    <s v="DSC Steel"/>
    <n v="396278"/>
    <n v="0.17331858407079648"/>
    <n v="963080.28811705695"/>
    <n v="2018"/>
    <n v="10300"/>
  </r>
  <r>
    <n v="8"/>
    <s v="وزارة الدفاع هيئة الاتصالات الخاصة"/>
    <x v="7"/>
    <s v="Steel Structure"/>
    <d v="2018-11-15T00:00:00"/>
    <d v="2019-02-13T00:00:00"/>
    <n v="49970"/>
    <n v="90"/>
    <n v="90"/>
    <n v="27"/>
    <n v="32480.5"/>
    <n v="1350"/>
    <n v="7495.5"/>
    <n v="0"/>
    <s v="DSC Steel"/>
    <n v="0"/>
    <n v="0.17298379027416455"/>
    <n v="42600.759204285663"/>
    <n v="2018"/>
    <n v="216"/>
  </r>
  <r>
    <n v="9"/>
    <s v="وزارة الدفاع هيئة الاتصالات الخاصة"/>
    <x v="8"/>
    <s v="Steel Structure"/>
    <d v="2019-01-31T00:00:00"/>
    <d v="2019-05-01T00:00:00"/>
    <n v="49875"/>
    <n v="90"/>
    <n v="98"/>
    <n v="27"/>
    <n v="31421.25"/>
    <n v="1350"/>
    <n v="14962.5"/>
    <n v="-8"/>
    <s v="DSC Steel"/>
    <n v="0"/>
    <n v="4.2932330827067711E-2"/>
    <n v="47821.894600245112"/>
    <n v="2019"/>
    <n v="252"/>
  </r>
  <r>
    <n v="10"/>
    <s v="شركة حول العالم للصناعات الدوائيه"/>
    <x v="9"/>
    <s v="Steel Structure"/>
    <d v="2019-11-17T00:00:00"/>
    <d v="2020-03-16T00:00:00"/>
    <n v="120000"/>
    <n v="120"/>
    <n v="122"/>
    <n v="64"/>
    <n v="72000"/>
    <n v="3200"/>
    <n v="30000"/>
    <n v="-2"/>
    <s v="DSC Steel"/>
    <n v="33000"/>
    <n v="0.12333333333333329"/>
    <n v="106824.92581602374"/>
    <n v="2019"/>
    <n v="1200"/>
  </r>
  <r>
    <n v="11"/>
    <s v="القيادة العامة الشركة العربية الدولية"/>
    <x v="10"/>
    <s v="Steel Structure"/>
    <d v="2020-01-22T00:00:00"/>
    <d v="2020-01-29T00:00:00"/>
    <n v="6600"/>
    <n v="7"/>
    <n v="12"/>
    <n v="4"/>
    <n v="4290"/>
    <n v="200"/>
    <n v="1188"/>
    <n v="-5"/>
    <s v="DSC Steel"/>
    <n v="0"/>
    <n v="0.13969696969696965"/>
    <n v="5791.0130284498809"/>
    <n v="2020"/>
    <n v="60"/>
  </r>
  <r>
    <n v="12"/>
    <s v="شركة القدس لصناعة الدهانات"/>
    <x v="11"/>
    <s v="Steel Structure"/>
    <d v="2020-02-10T00:00:00"/>
    <d v="2020-10-17T00:00:00"/>
    <n v="60000"/>
    <n v="250"/>
    <n v="251"/>
    <n v="32"/>
    <n v="37800"/>
    <n v="1600"/>
    <n v="16800"/>
    <n v="-1"/>
    <s v="DSC Steel"/>
    <n v="51000"/>
    <n v="6.3333333333333353E-2"/>
    <n v="56426.332288401245"/>
    <n v="2020"/>
    <n v="524"/>
  </r>
  <r>
    <n v="13"/>
    <s v="وزارة الدفاع هيئة الاتصالات الخاصة"/>
    <x v="12"/>
    <s v="Steel Structure"/>
    <d v="2020-06-18T00:00:00"/>
    <d v="2020-07-18T00:00:00"/>
    <n v="9500"/>
    <n v="30"/>
    <n v="40"/>
    <n v="6"/>
    <n v="5700"/>
    <n v="300"/>
    <n v="1805"/>
    <n v="-10"/>
    <s v="DSC Steel"/>
    <n v="0"/>
    <n v="0.17842105263157892"/>
    <n v="8061.6346583296126"/>
    <n v="2020"/>
    <n v="324"/>
  </r>
  <r>
    <n v="14"/>
    <s v="قيادة سلاح الجو الملكي"/>
    <x v="13"/>
    <s v="Steel Structure"/>
    <d v="2020-08-26T00:00:00"/>
    <d v="2020-10-10T00:00:00"/>
    <n v="9000"/>
    <n v="45"/>
    <n v="48"/>
    <n v="5"/>
    <n v="4950"/>
    <n v="250"/>
    <n v="3240"/>
    <n v="-3"/>
    <s v="DSC Steel"/>
    <n v="0"/>
    <n v="6.2222222222222179E-2"/>
    <n v="8472.8033472803345"/>
    <n v="2020"/>
    <n v="150"/>
  </r>
  <r>
    <n v="15"/>
    <s v="قيادة سلاح الجو الملكي"/>
    <x v="14"/>
    <s v="Steel Structure"/>
    <d v="2020-08-26T00:00:00"/>
    <d v="2020-10-10T00:00:00"/>
    <n v="10000"/>
    <n v="45"/>
    <n v="45"/>
    <n v="6"/>
    <n v="7800"/>
    <n v="300"/>
    <n v="1500"/>
    <n v="0"/>
    <s v="DSC Steel"/>
    <n v="0"/>
    <n v="4.0000000000000036E-2"/>
    <n v="9615.3846153846152"/>
    <n v="2020"/>
    <n v="180"/>
  </r>
  <r>
    <n v="16"/>
    <s v="قيادة سلاح الجو الملكي"/>
    <x v="15"/>
    <s v="Steel Structure"/>
    <d v="2020-08-26T00:00:00"/>
    <d v="2020-10-10T00:00:00"/>
    <n v="10000"/>
    <n v="45"/>
    <n v="46"/>
    <n v="6"/>
    <n v="4800"/>
    <n v="300"/>
    <n v="3200"/>
    <n v="-1"/>
    <s v="DSC Steel"/>
    <n v="0"/>
    <n v="0.17000000000000004"/>
    <n v="8547.0085470085469"/>
    <n v="2020"/>
    <n v="180"/>
  </r>
  <r>
    <n v="17"/>
    <s v="قيادة سلاح الجو الملكي"/>
    <x v="16"/>
    <s v="Steel Structure"/>
    <d v="2020-08-27T00:00:00"/>
    <d v="2020-10-11T00:00:00"/>
    <n v="10000"/>
    <n v="45"/>
    <n v="45"/>
    <n v="6"/>
    <n v="5800"/>
    <n v="300"/>
    <n v="2400"/>
    <n v="0"/>
    <s v="DSC Steel"/>
    <n v="0"/>
    <n v="0.15000000000000002"/>
    <n v="8695.652173913044"/>
    <n v="2020"/>
    <n v="180"/>
  </r>
  <r>
    <n v="18"/>
    <s v="قيادة سلاح الجو الملكي"/>
    <x v="17"/>
    <s v="Steel Structure"/>
    <d v="2020-08-27T00:00:00"/>
    <d v="2020-10-11T00:00:00"/>
    <n v="8000"/>
    <n v="45"/>
    <n v="53"/>
    <n v="5"/>
    <n v="5600"/>
    <n v="250"/>
    <n v="1040"/>
    <n v="-8"/>
    <s v="DSC Steel"/>
    <n v="0"/>
    <n v="0.13875000000000004"/>
    <n v="7025.2469813391881"/>
    <n v="2020"/>
    <n v="180"/>
  </r>
  <r>
    <n v="19"/>
    <s v="شركة البوتاس العربيه "/>
    <x v="18"/>
    <s v="Steel Structure"/>
    <d v="2020-12-10T00:00:00"/>
    <d v="2021-06-08T00:00:00"/>
    <n v="249865"/>
    <n v="180"/>
    <n v="182"/>
    <n v="134"/>
    <n v="149919"/>
    <n v="6700"/>
    <n v="49973"/>
    <n v="-2"/>
    <s v="DSC Steel"/>
    <n v="0"/>
    <n v="0.17318552018089772"/>
    <n v="212979.95560111621"/>
    <n v="2020"/>
    <n v="180"/>
  </r>
  <r>
    <n v="20"/>
    <s v="شركة صناعات الاسمدة والكيماويات العربية كيمابكو"/>
    <x v="19"/>
    <s v="Steel Structure"/>
    <d v="2021-04-14T00:00:00"/>
    <d v="2021-08-12T00:00:00"/>
    <n v="105609"/>
    <n v="120"/>
    <n v="125"/>
    <n v="57"/>
    <n v="55972.770000000004"/>
    <n v="2850"/>
    <n v="27458.34"/>
    <n v="-5"/>
    <s v="DSC Steel"/>
    <n v="0"/>
    <n v="0.18301366360821525"/>
    <n v="89271.158270387547"/>
    <n v="2021"/>
    <n v="980"/>
  </r>
  <r>
    <n v="21"/>
    <s v="شركة بن القرشي لصناعات القهوة"/>
    <x v="20"/>
    <s v="Steel Structure"/>
    <d v="2021-05-05T00:00:00"/>
    <d v="2021-08-03T00:00:00"/>
    <n v="120000"/>
    <n v="90"/>
    <n v="91"/>
    <n v="64"/>
    <n v="81600"/>
    <n v="3200"/>
    <n v="13200"/>
    <n v="-1"/>
    <s v="DSC Steel"/>
    <n v="0"/>
    <n v="0.18333333333333335"/>
    <n v="101408.45070422535"/>
    <n v="2021"/>
    <n v="1620"/>
  </r>
  <r>
    <n v="22"/>
    <s v="الديوان الملكي العامر"/>
    <x v="21"/>
    <s v="Steel Structure"/>
    <d v="2021-06-03T00:00:00"/>
    <d v="2021-07-28T00:00:00"/>
    <n v="46485"/>
    <n v="55"/>
    <n v="65"/>
    <n v="25"/>
    <n v="27891"/>
    <n v="1250"/>
    <n v="9297"/>
    <n v="-10"/>
    <s v="DSC Steel"/>
    <n v="0"/>
    <n v="0.17310960524900509"/>
    <n v="39625.453403506195"/>
    <n v="2021"/>
    <n v="860"/>
  </r>
  <r>
    <n v="23"/>
    <s v="شركة بن القرشي لصناعات القهوة"/>
    <x v="22"/>
    <s v="Steel Structure"/>
    <d v="2021-07-15T00:00:00"/>
    <d v="2021-10-10T00:00:00"/>
    <n v="36880"/>
    <n v="87"/>
    <n v="90"/>
    <n v="20"/>
    <n v="23972"/>
    <n v="1000"/>
    <n v="8113.6"/>
    <n v="-3"/>
    <s v="DSC Steel"/>
    <n v="83120"/>
    <n v="0.102885032537961"/>
    <n v="33439.56886887084"/>
    <n v="2021"/>
    <n v="430"/>
  </r>
  <r>
    <n v="24"/>
    <s v="غرفة صناعة الزرقاء"/>
    <x v="23"/>
    <s v="Steel Structure"/>
    <d v="2021-10-24T00:00:00"/>
    <d v="2022-02-21T00:00:00"/>
    <n v="550000"/>
    <n v="120"/>
    <n v="120"/>
    <n v="294"/>
    <n v="346500"/>
    <n v="14700"/>
    <n v="115500"/>
    <n v="0"/>
    <s v="DSC Steel"/>
    <n v="0"/>
    <n v="0.13327272727272732"/>
    <n v="485320.07059201028"/>
    <n v="2021"/>
    <n v="800"/>
  </r>
  <r>
    <n v="25"/>
    <s v="شركة البوتاس العربيه "/>
    <x v="24"/>
    <s v="Steel Structure"/>
    <d v="2021-11-03T00:00:00"/>
    <d v="2022-04-02T00:00:00"/>
    <n v="237526"/>
    <n v="150"/>
    <n v="151"/>
    <n v="127"/>
    <n v="142515.6"/>
    <n v="6350"/>
    <n v="47505.200000000004"/>
    <n v="-1"/>
    <s v="DSC Steel"/>
    <n v="0"/>
    <n v="0.17326608455495396"/>
    <n v="202448.53501420259"/>
    <n v="2021"/>
    <n v="2400"/>
  </r>
  <r>
    <n v="26"/>
    <s v="انس قاسم محمود الروسان"/>
    <x v="25"/>
    <s v="Steel Structure"/>
    <d v="2021-11-23T00:00:00"/>
    <d v="2022-02-21T00:00:00"/>
    <n v="100470"/>
    <n v="90"/>
    <n v="90"/>
    <n v="54"/>
    <n v="65305.5"/>
    <n v="2700"/>
    <n v="22103.4"/>
    <n v="0"/>
    <s v="DSC Steel"/>
    <n v="0"/>
    <n v="0.10312630636010756"/>
    <n v="91077.512539350413"/>
    <n v="2021"/>
    <n v="2100"/>
  </r>
  <r>
    <n v="27"/>
    <s v="انس قاسم محمود الروسان"/>
    <x v="26"/>
    <s v="Steel Structure"/>
    <d v="2021-11-23T00:00:00"/>
    <d v="2022-02-14T00:00:00"/>
    <n v="68935"/>
    <n v="83"/>
    <n v="91"/>
    <n v="37"/>
    <n v="43429.05"/>
    <n v="1850"/>
    <n v="14476.35"/>
    <n v="-8"/>
    <s v="DSC Steel"/>
    <n v="27595"/>
    <n v="0.13316312468267211"/>
    <n v="60834.136320226949"/>
    <n v="2021"/>
    <n v="1000"/>
  </r>
  <r>
    <n v="28"/>
    <s v="محمد محمود ذيب خطاب / شركة مخازن الريحان للتعبئة"/>
    <x v="27"/>
    <s v="Steel Structure"/>
    <d v="2022-08-02T00:00:00"/>
    <d v="2022-09-16T00:00:00"/>
    <n v="23000"/>
    <n v="45"/>
    <n v="47"/>
    <n v="13"/>
    <n v="13800"/>
    <n v="650"/>
    <n v="4600"/>
    <n v="-2"/>
    <s v="DSC Steel"/>
    <n v="187567"/>
    <n v="0.17173913043478262"/>
    <n v="19628.942486085343"/>
    <n v="2022"/>
    <n v="700"/>
  </r>
  <r>
    <n v="29"/>
    <s v="شركة الجزيرة الزراعية"/>
    <x v="28"/>
    <s v="Steel Structure"/>
    <d v="2022-09-29T00:00:00"/>
    <d v="2023-01-27T00:00:00"/>
    <n v="960000"/>
    <n v="120"/>
    <n v="125"/>
    <n v="512"/>
    <n v="624000"/>
    <n v="25600"/>
    <n v="211200"/>
    <n v="-5"/>
    <s v="DSC Steel"/>
    <n v="0"/>
    <n v="0.10333333333333339"/>
    <n v="870090.63444108749"/>
    <n v="2022"/>
    <n v="17100"/>
  </r>
  <r>
    <n v="30"/>
    <s v="شركة البيئة المشرقة للاستدامة والصناعات البلاستيكية"/>
    <x v="29"/>
    <s v="Steel Structure"/>
    <d v="2023-01-03T00:00:00"/>
    <d v="2023-05-08T00:00:00"/>
    <n v="150120"/>
    <n v="125"/>
    <n v="126"/>
    <n v="81"/>
    <n v="94575.6"/>
    <n v="4050"/>
    <n v="31525.199999999997"/>
    <n v="-1"/>
    <s v="DSC Steel"/>
    <n v="0"/>
    <n v="0.13302158273381293"/>
    <n v="132495.26954092321"/>
    <n v="2023"/>
    <n v="50000"/>
  </r>
  <r>
    <n v="31"/>
    <s v="شركة البارودي لصناعة وتطوير المنتجات البلاستيكية"/>
    <x v="30"/>
    <s v="Steel Structure"/>
    <d v="2023-03-08T00:00:00"/>
    <d v="2023-05-07T00:00:00"/>
    <n v="24600"/>
    <n v="60"/>
    <n v="70"/>
    <n v="14"/>
    <n v="14760"/>
    <n v="700"/>
    <n v="4920"/>
    <n v="-10"/>
    <s v="DSC Steel"/>
    <n v="0"/>
    <n v="0.17154471544715444"/>
    <n v="20997.918112421932"/>
    <n v="2023"/>
    <n v="620"/>
  </r>
  <r>
    <n v="32"/>
    <s v="شركة الزينة لتشكيل المعادن"/>
    <x v="29"/>
    <s v="Steel Structure"/>
    <d v="2023-08-04T00:00:00"/>
    <d v="2023-11-02T00:00:00"/>
    <n v="88775"/>
    <n v="90"/>
    <n v="93"/>
    <n v="48"/>
    <n v="57703.75"/>
    <n v="2400"/>
    <n v="19530.5"/>
    <n v="-3"/>
    <s v="DSC Steel"/>
    <n v="0"/>
    <n v="0.1029653618698958"/>
    <n v="80487.568394257309"/>
    <n v="2023"/>
    <n v="1100"/>
  </r>
  <r>
    <n v="33"/>
    <s v="مدينة الحسين للشباب"/>
    <x v="31"/>
    <s v="Steel Structure"/>
    <d v="2017-05-12T00:00:00"/>
    <d v="2017-08-10T00:00:00"/>
    <n v="45000"/>
    <n v="90"/>
    <n v="90"/>
    <n v="24"/>
    <n v="28350"/>
    <n v="1200"/>
    <n v="9450"/>
    <n v="0"/>
    <s v="DSC Steel"/>
    <n v="0"/>
    <n v="0.1333333333333333"/>
    <n v="39705.882352941175"/>
    <n v="2017"/>
    <n v="730"/>
  </r>
  <r>
    <n v="34"/>
    <s v="شركة منير سختيان لمواد التجميل"/>
    <x v="32"/>
    <s v="Steel Structure"/>
    <d v="2017-06-09T00:00:00"/>
    <d v="2017-08-08T00:00:00"/>
    <n v="90000"/>
    <n v="60"/>
    <n v="61"/>
    <n v="48"/>
    <n v="54000"/>
    <n v="2400"/>
    <n v="18000"/>
    <n v="-1"/>
    <s v="DSC Steel"/>
    <n v="0"/>
    <n v="0.17333333333333334"/>
    <n v="76704.545454545456"/>
    <n v="2017"/>
    <n v="623"/>
  </r>
  <r>
    <n v="35"/>
    <s v="سلاح الجو الملكي"/>
    <x v="33"/>
    <s v="Steel Structure"/>
    <d v="2017-07-11T00:00:00"/>
    <d v="2017-10-04T00:00:00"/>
    <n v="15000"/>
    <n v="85"/>
    <n v="85"/>
    <n v="8"/>
    <n v="9750"/>
    <n v="400"/>
    <n v="3300"/>
    <n v="0"/>
    <s v="DSC Steel"/>
    <n v="0"/>
    <n v="0.10333333333333339"/>
    <n v="13595.166163141992"/>
    <n v="2017"/>
    <n v="1050"/>
  </r>
  <r>
    <n v="36"/>
    <s v="شركة اسمنت العربيه /القطرانه"/>
    <x v="34"/>
    <s v="Steel Structure"/>
    <d v="2017-07-08T00:00:00"/>
    <d v="2017-11-05T00:00:00"/>
    <n v="178000"/>
    <n v="120"/>
    <n v="128"/>
    <n v="95"/>
    <n v="112140"/>
    <n v="4750"/>
    <n v="37380"/>
    <n v="-8"/>
    <s v="DSC Steel"/>
    <n v="0"/>
    <n v="0.13331460674157303"/>
    <n v="157061.41872800278"/>
    <n v="2017"/>
    <n v="1200"/>
  </r>
  <r>
    <n v="37"/>
    <s v="مدينة الحسين للشباب"/>
    <x v="35"/>
    <s v="Steel Structure"/>
    <d v="2017-08-08T00:00:00"/>
    <d v="2017-10-07T00:00:00"/>
    <n v="40000"/>
    <n v="60"/>
    <n v="62"/>
    <n v="22"/>
    <n v="24000"/>
    <n v="1100"/>
    <n v="8000"/>
    <n v="-2"/>
    <s v="DSC Steel"/>
    <n v="0"/>
    <n v="0.17249999999999999"/>
    <n v="34115.13859275054"/>
    <n v="2017"/>
    <n v="384"/>
  </r>
  <r>
    <n v="38"/>
    <s v="DAMAC"/>
    <x v="36"/>
    <s v="Steel Structure"/>
    <d v="2018-08-16T00:00:00"/>
    <d v="2018-08-28T00:00:00"/>
    <n v="250000"/>
    <n v="12"/>
    <n v="17"/>
    <n v="134"/>
    <n v="162500"/>
    <n v="6700"/>
    <n v="55000"/>
    <n v="-5"/>
    <s v="DSC Steel"/>
    <n v="0"/>
    <n v="0.10319999999999996"/>
    <n v="226613.48803480784"/>
    <n v="2018"/>
    <n v="2430"/>
  </r>
  <r>
    <n v="39"/>
    <s v="الشركة الهندية "/>
    <x v="37"/>
    <s v="Steel Structure"/>
    <d v="2018-07-01T00:00:00"/>
    <d v="2018-08-15T00:00:00"/>
    <n v="53912"/>
    <n v="45"/>
    <n v="46"/>
    <n v="29"/>
    <n v="33964.559999999998"/>
    <n v="1450"/>
    <n v="11321.52"/>
    <n v="-1"/>
    <s v="DSC Steel"/>
    <n v="0"/>
    <n v="0.1331043181480932"/>
    <n v="47579.026164256371"/>
    <n v="2018"/>
    <n v="2150"/>
  </r>
  <r>
    <n v="40"/>
    <s v="شركة الانباط العرب للمقاولات الانشائية"/>
    <x v="38"/>
    <s v="Steel Structure"/>
    <d v="2019-11-29T00:00:00"/>
    <d v="2020-05-27T00:00:00"/>
    <n v="348550"/>
    <n v="180"/>
    <n v="190"/>
    <n v="186"/>
    <n v="209130"/>
    <n v="9300"/>
    <n v="69710"/>
    <n v="-10"/>
    <s v="DSC Steel"/>
    <n v="0"/>
    <n v="0.17331803184622008"/>
    <n v="297063.53310837247"/>
    <n v="2019"/>
    <n v="1600"/>
  </r>
  <r>
    <n v="41"/>
    <s v="الديوان الملكي العامر"/>
    <x v="39"/>
    <s v="Steel Structure"/>
    <d v="2019-11-30T00:00:00"/>
    <d v="2020-02-28T00:00:00"/>
    <n v="51000"/>
    <n v="90"/>
    <n v="93"/>
    <n v="28"/>
    <n v="33150"/>
    <n v="1400"/>
    <n v="11220"/>
    <n v="-3"/>
    <s v="DSC Steel"/>
    <n v="0"/>
    <n v="0.10254901960784313"/>
    <n v="46256.446736617465"/>
    <n v="2019"/>
    <n v="840"/>
  </r>
  <r>
    <n v="42"/>
    <s v="شركة مربع الاعمال / الجيم"/>
    <x v="40"/>
    <s v="Steel Structure"/>
    <d v="2019-12-06T00:00:00"/>
    <d v="2019-12-13T00:00:00"/>
    <n v="74000"/>
    <n v="7"/>
    <n v="7"/>
    <n v="40"/>
    <n v="46620"/>
    <n v="2000"/>
    <n v="15540"/>
    <n v="0"/>
    <s v="DSC Steel"/>
    <n v="0"/>
    <n v="0.13297297297297295"/>
    <n v="65314.885496183211"/>
    <n v="2019"/>
    <n v="870"/>
  </r>
  <r>
    <n v="43"/>
    <s v="شركة محمود الشوحة وشريكه"/>
    <x v="41"/>
    <s v="Steel Structure"/>
    <d v="2019-12-07T00:00:00"/>
    <d v="2019-12-26T00:00:00"/>
    <n v="222316"/>
    <n v="19"/>
    <n v="20"/>
    <n v="119"/>
    <n v="133389.6"/>
    <n v="5950"/>
    <n v="44463.200000000004"/>
    <n v="-1"/>
    <s v="DSC Steel"/>
    <n v="0"/>
    <n v="0.17323629428381215"/>
    <n v="189489.53512873559"/>
    <n v="2019"/>
    <n v="6700"/>
  </r>
  <r>
    <n v="44"/>
    <s v="شركة محمود الفلاحات"/>
    <x v="42"/>
    <s v="Steel Structure"/>
    <d v="2019-12-08T00:00:00"/>
    <d v="2019-12-10T00:00:00"/>
    <n v="23500"/>
    <n v="2"/>
    <n v="2"/>
    <n v="13"/>
    <n v="15275"/>
    <n v="650"/>
    <n v="5170"/>
    <n v="0"/>
    <s v="DSC Steel"/>
    <n v="0"/>
    <n v="0.10234042553191491"/>
    <n v="21318.278324647752"/>
    <n v="2019"/>
    <n v="0"/>
  </r>
  <r>
    <n v="45"/>
    <s v="جبر نايف العوضي"/>
    <x v="41"/>
    <s v="Steel Structure"/>
    <d v="2019-12-09T00:00:00"/>
    <d v="2019-12-15T00:00:00"/>
    <n v="64540"/>
    <n v="6"/>
    <n v="14"/>
    <n v="35"/>
    <n v="40660.199999999997"/>
    <n v="1750"/>
    <n v="13553.4"/>
    <n v="-8"/>
    <s v="DSC Steel"/>
    <n v="0"/>
    <n v="0.13288503253796102"/>
    <n v="56969.593688967172"/>
    <n v="2019"/>
    <n v="670"/>
  </r>
  <r>
    <n v="46"/>
    <s v="قيادة سلاح الجو الملكي / الانيكس"/>
    <x v="41"/>
    <s v="Steel Structure"/>
    <d v="2019-08-10T00:00:00"/>
    <d v="2019-08-17T00:00:00"/>
    <n v="74000"/>
    <n v="7"/>
    <n v="9"/>
    <n v="40"/>
    <n v="44400"/>
    <n v="2000"/>
    <n v="14800"/>
    <n v="-2"/>
    <s v="DSC Steel"/>
    <n v="0"/>
    <n v="0.17297297297297298"/>
    <n v="63087.557603686633"/>
    <n v="2019"/>
    <n v="1050"/>
  </r>
  <r>
    <n v="47"/>
    <s v="قيادة سلاح الجو الملكي / الذخيرة ــ الغباوي"/>
    <x v="43"/>
    <s v="Steel Structure"/>
    <d v="2019-09-11T00:00:00"/>
    <d v="2019-09-15T00:00:00"/>
    <n v="47112"/>
    <n v="4"/>
    <n v="9"/>
    <n v="26"/>
    <n v="30622.799999999999"/>
    <n v="1300"/>
    <n v="10364.64"/>
    <n v="-5"/>
    <s v="DSC Steel"/>
    <n v="0"/>
    <n v="0.10240618101545251"/>
    <n v="42735.609443521091"/>
    <n v="2019"/>
    <n v="860"/>
  </r>
  <r>
    <n v="48"/>
    <s v="شركة محمد السيد /مستشفى الكندي"/>
    <x v="44"/>
    <s v="Steel Structure"/>
    <d v="2019-03-12T00:00:00"/>
    <d v="2019-03-17T00:00:00"/>
    <n v="59491"/>
    <n v="5"/>
    <n v="6"/>
    <n v="32"/>
    <n v="37479.33"/>
    <n v="1600"/>
    <n v="12493.109999999999"/>
    <n v="-1"/>
    <s v="DSC Steel"/>
    <n v="0"/>
    <n v="0.13310517557277568"/>
    <n v="52502.628425404349"/>
    <n v="2019"/>
    <n v="1200"/>
  </r>
  <r>
    <n v="49"/>
    <s v="شركة النحاتون العرب / كلية القدس اربد"/>
    <x v="44"/>
    <s v="Steel Structure"/>
    <d v="2019-05-13T00:00:00"/>
    <d v="2019-05-14T00:00:00"/>
    <n v="6000"/>
    <n v="1"/>
    <n v="11"/>
    <n v="4"/>
    <n v="3600"/>
    <n v="200"/>
    <n v="1200"/>
    <n v="-10"/>
    <s v="DSC Steel"/>
    <n v="0"/>
    <n v="0.16666666666666663"/>
    <n v="5142.8571428571431"/>
    <n v="2019"/>
    <n v="654"/>
  </r>
  <r>
    <n v="50"/>
    <s v="ونش مالك ذيابات ــ الرمثا"/>
    <x v="41"/>
    <s v="Steel Structure"/>
    <d v="2019-02-14T00:00:00"/>
    <d v="2019-02-16T00:00:00"/>
    <n v="23000"/>
    <n v="2"/>
    <n v="5"/>
    <n v="13"/>
    <n v="14950"/>
    <n v="650"/>
    <n v="5060"/>
    <n v="-3"/>
    <s v="DSC Steel"/>
    <n v="0"/>
    <n v="0.10173913043478255"/>
    <n v="20876.085240726126"/>
    <n v="2019"/>
    <n v="0"/>
  </r>
  <r>
    <n v="51"/>
    <s v="الشركة الهندية / البرج"/>
    <x v="45"/>
    <s v="Steel Structure"/>
    <d v="2019-12-15T00:00:00"/>
    <d v="2019-12-16T00:00:00"/>
    <n v="4466"/>
    <n v="1"/>
    <n v="1"/>
    <n v="3"/>
    <n v="2813.58"/>
    <n v="150"/>
    <n v="937.86"/>
    <n v="0"/>
    <s v="DSC Steel"/>
    <n v="0"/>
    <n v="0.12641289744738016"/>
    <n v="3964.7983524697052"/>
    <n v="2019"/>
    <n v="0"/>
  </r>
  <r>
    <n v="52"/>
    <s v="الشركة العامة للصناعة والتبريد"/>
    <x v="44"/>
    <s v="Steel Structure"/>
    <d v="2019-03-16T00:00:00"/>
    <d v="2019-03-17T00:00:00"/>
    <n v="5500"/>
    <n v="1"/>
    <n v="2"/>
    <n v="3"/>
    <n v="3300"/>
    <n v="150"/>
    <n v="1100"/>
    <n v="-1"/>
    <s v="DSC Steel"/>
    <n v="0"/>
    <n v="0.17272727272727273"/>
    <n v="4689.9224806201546"/>
    <n v="2019"/>
    <n v="896"/>
  </r>
  <r>
    <n v="53"/>
    <s v="شركة باب الريان للصناعات البلاستيكية"/>
    <x v="41"/>
    <s v="Steel Structure"/>
    <d v="2019-01-17T00:00:00"/>
    <d v="2019-01-21T00:00:00"/>
    <n v="40000"/>
    <n v="4"/>
    <n v="4"/>
    <n v="22"/>
    <n v="26000"/>
    <n v="1100"/>
    <n v="8800"/>
    <n v="0"/>
    <s v="DSC Steel"/>
    <n v="0"/>
    <n v="0.10250000000000004"/>
    <n v="36281.179138321997"/>
    <n v="2019"/>
    <n v="700"/>
  </r>
  <r>
    <n v="54"/>
    <s v="شركة محمد السيد /مستشفى عبدون"/>
    <x v="44"/>
    <s v="Steel Structure"/>
    <d v="2019-12-18T00:00:00"/>
    <d v="2019-12-19T00:00:00"/>
    <n v="11364"/>
    <n v="1"/>
    <n v="9"/>
    <n v="7"/>
    <n v="7159.32"/>
    <n v="350"/>
    <n v="2386.44"/>
    <n v="-8"/>
    <s v="DSC Steel"/>
    <n v="0"/>
    <n v="0.12920098556846182"/>
    <n v="10063.753171698783"/>
    <n v="2019"/>
    <n v="210"/>
  </r>
  <r>
    <n v="55"/>
    <s v="القيادة العامة "/>
    <x v="46"/>
    <s v="Steel Structure"/>
    <d v="2019-04-15T00:00:00"/>
    <d v="2019-04-17T00:00:00"/>
    <n v="17000"/>
    <n v="2"/>
    <n v="4"/>
    <n v="10"/>
    <n v="10200"/>
    <n v="500"/>
    <n v="3400"/>
    <n v="-2"/>
    <s v="DSC Steel"/>
    <n v="0"/>
    <n v="0.1705882352941176"/>
    <n v="14522.613065326635"/>
    <n v="2019"/>
    <n v="0"/>
  </r>
  <r>
    <n v="56"/>
    <s v="الديوان الملكي الهاشمي"/>
    <x v="47"/>
    <s v="Steel Structure"/>
    <d v="2019-12-20T00:00:00"/>
    <d v="2019-12-22T00:00:00"/>
    <n v="17957"/>
    <n v="2"/>
    <n v="7"/>
    <n v="10"/>
    <n v="11672.050000000001"/>
    <n v="500"/>
    <n v="3950.54"/>
    <n v="-5"/>
    <s v="DSC Steel"/>
    <n v="0"/>
    <n v="0.10215570529598483"/>
    <n v="16292.61629161338"/>
    <n v="2019"/>
    <n v="856"/>
  </r>
  <r>
    <n v="57"/>
    <s v="شركة مزارع سنقرط للدواجن"/>
    <x v="48"/>
    <s v="Steel Structure"/>
    <d v="2019-12-21T00:00:00"/>
    <d v="2019-12-24T00:00:00"/>
    <n v="25720"/>
    <n v="3"/>
    <n v="4"/>
    <n v="14"/>
    <n v="16203.6"/>
    <n v="700"/>
    <n v="5401.2"/>
    <n v="-1"/>
    <s v="DSC Steel"/>
    <n v="0"/>
    <n v="0.13278382581648529"/>
    <n v="22705.126444987505"/>
    <n v="2019"/>
    <n v="2100"/>
  </r>
  <r>
    <n v="58"/>
    <s v="شركة المتوج لصناعة الادوية البيطرية"/>
    <x v="44"/>
    <s v="Steel Structure"/>
    <d v="2019-12-22T00:00:00"/>
    <d v="2019-12-23T00:00:00"/>
    <n v="7560"/>
    <n v="1"/>
    <n v="11"/>
    <n v="5"/>
    <n v="4536"/>
    <n v="250"/>
    <n v="1512"/>
    <n v="-10"/>
    <s v="DSC Steel"/>
    <n v="0"/>
    <n v="0.16693121693121693"/>
    <n v="6478.5309453638629"/>
    <n v="2019"/>
    <n v="70"/>
  </r>
  <r>
    <n v="59"/>
    <s v="مظلة الزرقاء / موسى المعايطة"/>
    <x v="49"/>
    <s v="Steel Structure"/>
    <d v="2019-12-23T00:00:00"/>
    <d v="2019-12-24T00:00:00"/>
    <n v="12000"/>
    <n v="1"/>
    <n v="4"/>
    <n v="7"/>
    <n v="7800"/>
    <n v="350"/>
    <n v="2640"/>
    <n v="-3"/>
    <s v="DSC Steel"/>
    <n v="0"/>
    <n v="0.10083333333333333"/>
    <n v="10900.832702498108"/>
    <n v="2019"/>
    <n v="100"/>
  </r>
  <r>
    <n v="60"/>
    <s v="شركة الظاهر للخدمات اللوجستية"/>
    <x v="50"/>
    <s v="Steel Structure"/>
    <d v="2020-05-02T00:00:00"/>
    <d v="2020-06-01T00:00:00"/>
    <n v="360000"/>
    <n v="30"/>
    <n v="30"/>
    <n v="192"/>
    <n v="226800"/>
    <n v="9600"/>
    <n v="75600"/>
    <n v="0"/>
    <s v="DSC Steel"/>
    <n v="9864"/>
    <n v="0.1333333333333333"/>
    <n v="317647.0588235294"/>
    <n v="2020"/>
    <n v="0"/>
  </r>
  <r>
    <n v="61"/>
    <s v="شركة الظاهر للخدمات اللوجستية"/>
    <x v="51"/>
    <s v="Steel Structure"/>
    <d v="2020-01-12T00:00:00"/>
    <d v="2020-03-12T00:00:00"/>
    <n v="720000"/>
    <n v="60"/>
    <n v="61"/>
    <n v="384"/>
    <n v="432000"/>
    <n v="19200"/>
    <n v="144000"/>
    <n v="-1"/>
    <s v="DSC Steel"/>
    <n v="0"/>
    <n v="0.17333333333333334"/>
    <n v="613636.36363636365"/>
    <n v="2020"/>
    <n v="0"/>
  </r>
  <r>
    <n v="62"/>
    <s v="شركة آدم للمقولات"/>
    <x v="52"/>
    <s v="Steel Structure"/>
    <d v="2020-01-04T00:00:00"/>
    <d v="2020-01-15T00:00:00"/>
    <n v="130000"/>
    <n v="11"/>
    <n v="11"/>
    <n v="70"/>
    <n v="84500"/>
    <n v="3500"/>
    <n v="28600"/>
    <n v="0"/>
    <s v="DSC Steel"/>
    <n v="-12205"/>
    <n v="0.10307692307692307"/>
    <n v="117852.16178521617"/>
    <n v="2020"/>
    <n v="700"/>
  </r>
  <r>
    <n v="63"/>
    <s v="شركة غازانيا للطاقة الشمسية"/>
    <x v="53"/>
    <s v="Steel Structure"/>
    <d v="2020-01-25T00:00:00"/>
    <d v="2020-02-18T00:00:00"/>
    <n v="285935"/>
    <n v="24"/>
    <n v="32"/>
    <n v="153"/>
    <n v="180139.05"/>
    <n v="7650"/>
    <n v="60046.35"/>
    <n v="-8"/>
    <s v="DSC Steel"/>
    <n v="0"/>
    <n v="0.133245667721685"/>
    <n v="252315.10531591377"/>
    <n v="2020"/>
    <n v="11000"/>
  </r>
  <r>
    <n v="64"/>
    <s v="شركة انوار العرب للمقاولات"/>
    <x v="54"/>
    <s v="Steel Structure"/>
    <d v="2020-02-15T00:00:00"/>
    <d v="2020-02-22T00:00:00"/>
    <n v="80000"/>
    <n v="7"/>
    <n v="9"/>
    <n v="43"/>
    <n v="48000"/>
    <n v="2150"/>
    <n v="16000"/>
    <n v="-2"/>
    <s v="DSC Steel"/>
    <n v="0"/>
    <n v="0.17312499999999997"/>
    <n v="68193.926478423018"/>
    <n v="2020"/>
    <n v="1230"/>
  </r>
  <r>
    <n v="65"/>
    <s v="شركة سنقرط للدواجن"/>
    <x v="55"/>
    <s v="Steel Structure"/>
    <d v="2021-02-18T00:00:00"/>
    <d v="2021-02-28T00:00:00"/>
    <n v="113000"/>
    <n v="10"/>
    <n v="15"/>
    <n v="61"/>
    <n v="73450"/>
    <n v="3050"/>
    <n v="24860"/>
    <n v="-5"/>
    <s v="DSC Steel"/>
    <n v="0"/>
    <n v="0.1030088495575221"/>
    <n v="102447.04749679076"/>
    <n v="2021"/>
    <n v="2100"/>
  </r>
  <r>
    <n v="66"/>
    <s v="شركة عدنان الركيبات "/>
    <x v="56"/>
    <s v="Steel Structure"/>
    <d v="2021-02-22T00:00:00"/>
    <d v="2021-03-01T00:00:00"/>
    <n v="75213"/>
    <n v="7"/>
    <n v="8"/>
    <n v="41"/>
    <n v="47384.19"/>
    <n v="2050"/>
    <n v="15794.73"/>
    <n v="-1"/>
    <s v="DSC Steel"/>
    <n v="0"/>
    <n v="0.1327440734979326"/>
    <n v="66398.934904811293"/>
    <n v="2021"/>
    <n v="935"/>
  </r>
  <r>
    <n v="67"/>
    <s v="شركة الوليد للصناعت البلاستيكية"/>
    <x v="41"/>
    <s v="Steel Structure"/>
    <d v="2021-03-27T00:00:00"/>
    <d v="2021-03-31T00:00:00"/>
    <n v="45900"/>
    <n v="4"/>
    <n v="14"/>
    <n v="25"/>
    <n v="27540"/>
    <n v="1250"/>
    <n v="9180"/>
    <n v="-10"/>
    <s v="DSC Steel"/>
    <n v="0"/>
    <n v="0.17276688453159039"/>
    <n v="39138.212892439158"/>
    <n v="2021"/>
    <n v="630"/>
  </r>
  <r>
    <n v="68"/>
    <s v=" شركة بن القرشي "/>
    <x v="57"/>
    <s v="Steel Structure"/>
    <d v="2021-02-17T00:00:00"/>
    <d v="2021-02-20T00:00:00"/>
    <n v="36000"/>
    <n v="3"/>
    <n v="6"/>
    <n v="20"/>
    <n v="23400"/>
    <n v="1000"/>
    <n v="7920"/>
    <n v="-3"/>
    <s v="DSC Steel"/>
    <n v="0"/>
    <n v="0.10222222222222221"/>
    <n v="32661.290322580644"/>
    <n v="2021"/>
    <n v="0"/>
  </r>
  <r>
    <n v="69"/>
    <s v="نورالدين العناتي"/>
    <x v="41"/>
    <s v="Steel Structure"/>
    <d v="2021-05-11T00:00:00"/>
    <d v="2021-05-13T00:00:00"/>
    <n v="23000"/>
    <n v="2"/>
    <n v="2"/>
    <n v="13"/>
    <n v="14490"/>
    <n v="650"/>
    <n v="4830"/>
    <n v="0"/>
    <s v="DSC Steel"/>
    <n v="0"/>
    <n v="0.13173913043478258"/>
    <n v="20322.704571648097"/>
    <n v="2021"/>
    <n v="200"/>
  </r>
  <r>
    <n v="70"/>
    <s v="شركة مربع الاعمال / الجيم"/>
    <x v="58"/>
    <s v="Steel Structure"/>
    <d v="2022-05-22T00:00:00"/>
    <d v="2022-05-24T00:00:00"/>
    <n v="13000"/>
    <n v="2"/>
    <n v="3"/>
    <n v="7"/>
    <n v="7800"/>
    <n v="350"/>
    <n v="2600"/>
    <n v="-1"/>
    <s v="DSC Steel"/>
    <n v="0"/>
    <n v="0.17307692307692313"/>
    <n v="11081.967213114754"/>
    <n v="2022"/>
    <n v="130"/>
  </r>
  <r>
    <n v="71"/>
    <s v="شركة توليد الكهرباء المركزية"/>
    <x v="59"/>
    <s v="Steel Structure"/>
    <d v="2022-05-19T00:00:00"/>
    <d v="2022-05-22T00:00:00"/>
    <n v="30715"/>
    <n v="3"/>
    <n v="3"/>
    <n v="17"/>
    <n v="19964.75"/>
    <n v="850"/>
    <n v="6757.3"/>
    <n v="0"/>
    <s v="DSC Steel"/>
    <n v="0"/>
    <n v="0.10232622497151234"/>
    <n v="27863.802297540165"/>
    <n v="2022"/>
    <n v="0"/>
  </r>
  <r>
    <n v="72"/>
    <s v="عبدالله محمد ابوعليا"/>
    <x v="41"/>
    <s v="Steel Structure"/>
    <d v="2022-05-29T00:00:00"/>
    <d v="2022-06-02T00:00:00"/>
    <n v="44000"/>
    <n v="4"/>
    <n v="12"/>
    <n v="24"/>
    <n v="27720"/>
    <n v="1200"/>
    <n v="9240"/>
    <n v="-8"/>
    <s v="DSC Steel"/>
    <n v="12250"/>
    <n v="0.13272727272727269"/>
    <n v="38844.301765650074"/>
    <n v="2022"/>
    <n v="850"/>
  </r>
  <r>
    <n v="73"/>
    <s v="شركة سليم كتانة "/>
    <x v="60"/>
    <s v="Steel Structure"/>
    <d v="2022-06-03T00:00:00"/>
    <d v="2022-06-06T00:00:00"/>
    <n v="27950"/>
    <n v="3"/>
    <n v="5"/>
    <n v="15"/>
    <n v="16770"/>
    <n v="750"/>
    <n v="5590"/>
    <n v="-2"/>
    <s v="DSC Steel"/>
    <n v="0"/>
    <n v="0.17316636851520573"/>
    <n v="23824.412930771578"/>
    <n v="2022"/>
    <n v="0"/>
  </r>
  <r>
    <n v="74"/>
    <s v="شركة منير سختيان لمواد التجميل"/>
    <x v="61"/>
    <s v="Steel Structure"/>
    <d v="2022-07-02T00:00:00"/>
    <d v="2022-07-04T00:00:00"/>
    <n v="17780"/>
    <n v="2"/>
    <n v="7"/>
    <n v="10"/>
    <n v="11557"/>
    <n v="500"/>
    <n v="3911.6"/>
    <n v="-5"/>
    <s v="DSC Steel"/>
    <n v="38718"/>
    <n v="0.10187851518560176"/>
    <n v="16136.080116785935"/>
    <n v="2022"/>
    <n v="0"/>
  </r>
  <r>
    <n v="75"/>
    <s v="شركة معبر الاردن [ Maonet Civil Engineer] "/>
    <x v="41"/>
    <s v="Steel Structure"/>
    <d v="2022-07-29T00:00:00"/>
    <d v="2022-08-02T00:00:00"/>
    <n v="45000"/>
    <n v="4"/>
    <n v="5"/>
    <n v="24"/>
    <n v="28350"/>
    <n v="1200"/>
    <n v="9450"/>
    <n v="-1"/>
    <s v="DSC Steel"/>
    <n v="-5000"/>
    <n v="0.1333333333333333"/>
    <n v="39705.882352941175"/>
    <n v="2022"/>
    <n v="700"/>
  </r>
  <r>
    <n v="76"/>
    <s v="شركة مخازن الريحان  "/>
    <x v="62"/>
    <s v="Steel Structure"/>
    <d v="2022-07-03T00:00:00"/>
    <d v="2022-07-05T00:00:00"/>
    <n v="16000"/>
    <n v="2"/>
    <n v="12"/>
    <n v="9"/>
    <n v="9600"/>
    <n v="450"/>
    <n v="3200"/>
    <n v="-10"/>
    <s v="DSC Steel"/>
    <n v="0"/>
    <n v="0.171875"/>
    <n v="13653.333333333334"/>
    <n v="2022"/>
    <n v="200"/>
  </r>
  <r>
    <n v="77"/>
    <s v="شركة بيت التراث والخبرة لصناعة الشوكولاته"/>
    <x v="63"/>
    <s v="Steel Structure"/>
    <d v="2022-07-06T00:00:00"/>
    <d v="2022-07-15T00:00:00"/>
    <n v="100000"/>
    <n v="9"/>
    <n v="12"/>
    <n v="54"/>
    <n v="65000"/>
    <n v="2700"/>
    <n v="22000"/>
    <n v="-3"/>
    <s v="DSC Steel"/>
    <n v="9800"/>
    <n v="0.10299999999999998"/>
    <n v="90661.831368993662"/>
    <n v="2022"/>
    <n v="1000"/>
  </r>
  <r>
    <n v="78"/>
    <s v="شركة خالد الشقور وشركاه"/>
    <x v="30"/>
    <s v="Steel Structure"/>
    <d v="2022-07-15T00:00:00"/>
    <d v="2022-07-20T00:00:00"/>
    <n v="52000"/>
    <n v="5"/>
    <n v="5"/>
    <n v="28"/>
    <n v="32760"/>
    <n v="1400"/>
    <n v="10920"/>
    <n v="0"/>
    <s v="DSC Steel"/>
    <n v="0"/>
    <n v="0.13307692307692309"/>
    <n v="45892.735913102508"/>
    <n v="2022"/>
    <n v="730"/>
  </r>
  <r>
    <n v="79"/>
    <s v="عماد حكمت الخيري "/>
    <x v="30"/>
    <s v="Steel Structure"/>
    <d v="2022-07-24T00:00:00"/>
    <d v="2022-07-27T00:00:00"/>
    <n v="35700"/>
    <n v="3"/>
    <n v="4"/>
    <n v="20"/>
    <n v="21420"/>
    <n v="1000"/>
    <n v="7140"/>
    <n v="-1"/>
    <s v="DSC Steel"/>
    <n v="0"/>
    <n v="0.17198879551820734"/>
    <n v="30461.042065009558"/>
    <n v="2022"/>
    <n v="300"/>
  </r>
  <r>
    <n v="80"/>
    <s v="محمد عبدالكريم ذيب القبارة"/>
    <x v="30"/>
    <s v="Steel Structure"/>
    <d v="2022-07-08T00:00:00"/>
    <d v="2022-07-12T00:00:00"/>
    <n v="40000"/>
    <n v="4"/>
    <n v="4"/>
    <n v="22"/>
    <n v="26000"/>
    <n v="1100"/>
    <n v="8800"/>
    <n v="0"/>
    <s v="DSC Steel"/>
    <n v="8000"/>
    <n v="0.10250000000000004"/>
    <n v="36281.179138321997"/>
    <n v="2022"/>
    <n v="630"/>
  </r>
  <r>
    <n v="81"/>
    <s v="شركة البيئة الخضراء"/>
    <x v="30"/>
    <s v="Steel Structure"/>
    <d v="2022-08-23T00:00:00"/>
    <d v="2022-08-30T00:00:00"/>
    <n v="80500"/>
    <n v="7"/>
    <n v="15"/>
    <n v="43"/>
    <n v="50715"/>
    <n v="2150"/>
    <n v="16905"/>
    <n v="-8"/>
    <s v="DSC Steel"/>
    <n v="47000"/>
    <n v="0.13329192546583846"/>
    <n v="71032.007015236217"/>
    <n v="2022"/>
    <n v="5320"/>
  </r>
  <r>
    <n v="82"/>
    <s v="هشام النتشة"/>
    <x v="64"/>
    <s v="Steel Structure"/>
    <d v="2022-08-13T00:00:00"/>
    <d v="2022-08-24T00:00:00"/>
    <n v="126000"/>
    <n v="11"/>
    <n v="13"/>
    <n v="68"/>
    <n v="75600"/>
    <n v="3400"/>
    <n v="25200"/>
    <n v="-2"/>
    <s v="DSC Steel"/>
    <n v="0"/>
    <n v="0.17301587301587307"/>
    <n v="107415.42625169148"/>
    <n v="2022"/>
    <n v="0"/>
  </r>
  <r>
    <n v="83"/>
    <s v="شركة نمر اللوزي"/>
    <x v="65"/>
    <s v="Steel Structure"/>
    <d v="2022-08-25T00:00:00"/>
    <d v="2022-08-29T00:00:00"/>
    <n v="41000"/>
    <n v="4"/>
    <n v="9"/>
    <n v="22"/>
    <n v="26650"/>
    <n v="1100"/>
    <n v="9020"/>
    <n v="-5"/>
    <s v="DSC Steel"/>
    <n v="65975"/>
    <n v="0.10317073170731705"/>
    <n v="37165.598054388684"/>
    <n v="2022"/>
    <n v="700"/>
  </r>
  <r>
    <n v="84"/>
    <s v="شركة محمد العبويني"/>
    <x v="63"/>
    <s v="Steel Structure"/>
    <d v="2022-09-03T00:00:00"/>
    <d v="2022-09-20T00:00:00"/>
    <n v="200000"/>
    <n v="17"/>
    <n v="18"/>
    <n v="107"/>
    <n v="130000"/>
    <n v="5350"/>
    <n v="42000"/>
    <n v="-1"/>
    <s v="DSC Steel"/>
    <n v="17250"/>
    <n v="0.11324999999999996"/>
    <n v="179654.16573096791"/>
    <n v="2022"/>
    <n v="1560"/>
  </r>
  <r>
    <n v="85"/>
    <s v="شركة الجناح الذهبي"/>
    <x v="66"/>
    <s v="Steel Structure"/>
    <d v="2022-09-05T00:00:00"/>
    <d v="2022-09-10T00:00:00"/>
    <n v="58000"/>
    <n v="5"/>
    <n v="15"/>
    <n v="31"/>
    <n v="35960"/>
    <n v="1550"/>
    <n v="11600"/>
    <n v="-10"/>
    <s v="DSC Steel"/>
    <n v="0"/>
    <n v="0.15327586206896548"/>
    <n v="50291.523396621327"/>
    <n v="2022"/>
    <n v="666"/>
  </r>
  <r>
    <n v="86"/>
    <s v="شركة ابوعودة اخوان / رجم الشامي"/>
    <x v="67"/>
    <s v="Steel Structure"/>
    <d v="2022-09-09T00:00:00"/>
    <d v="2022-09-18T00:00:00"/>
    <n v="102000"/>
    <n v="9"/>
    <n v="12"/>
    <n v="55"/>
    <n v="68340"/>
    <n v="2750"/>
    <n v="22440"/>
    <n v="-3"/>
    <s v="DSC Steel"/>
    <n v="2961"/>
    <n v="8.3039215686274481E-2"/>
    <n v="94179.415225853169"/>
    <n v="2022"/>
    <n v="1030"/>
  </r>
  <r>
    <n v="87"/>
    <s v="شركة الضفاف الزراعية"/>
    <x v="30"/>
    <s v="Steel Structure"/>
    <d v="2022-09-12T00:00:00"/>
    <d v="2022-09-19T00:00:00"/>
    <n v="77000"/>
    <n v="7"/>
    <n v="7"/>
    <n v="42"/>
    <n v="46970"/>
    <n v="2100"/>
    <n v="16170"/>
    <n v="0"/>
    <s v="DSC Steel"/>
    <n v="0"/>
    <n v="0.15272727272727271"/>
    <n v="66798.107255520503"/>
    <n v="2022"/>
    <n v="850"/>
  </r>
  <r>
    <n v="88"/>
    <s v="عماد حكمت الخيري "/>
    <x v="30"/>
    <s v="Steel Structure"/>
    <d v="2022-10-30T00:00:00"/>
    <d v="2022-11-01T00:00:00"/>
    <n v="20000"/>
    <n v="2"/>
    <n v="3"/>
    <n v="11"/>
    <n v="12400"/>
    <n v="550"/>
    <n v="4000"/>
    <n v="-1"/>
    <s v="DSC Steel"/>
    <n v="0"/>
    <n v="0.15249999999999997"/>
    <n v="17353.579175704992"/>
    <n v="2022"/>
    <n v="302"/>
  </r>
  <r>
    <n v="89"/>
    <s v="شركة الزينة"/>
    <x v="68"/>
    <s v="Steel Structure"/>
    <d v="2022-10-15T00:00:00"/>
    <d v="2022-10-17T00:00:00"/>
    <n v="12200"/>
    <n v="2"/>
    <n v="2"/>
    <n v="7"/>
    <n v="6832.0000000000009"/>
    <n v="350"/>
    <n v="2684"/>
    <n v="0"/>
    <s v="DSC Steel"/>
    <n v="0"/>
    <n v="0.19131147540983606"/>
    <n v="10240.814641530204"/>
    <n v="2022"/>
    <n v="250"/>
  </r>
  <r>
    <n v="90"/>
    <s v="شركة عمر حداد وشركاه"/>
    <x v="69"/>
    <s v="Steel Structure"/>
    <d v="2022-10-18T00:00:00"/>
    <d v="2022-10-21T00:00:00"/>
    <n v="33000"/>
    <n v="3"/>
    <n v="11"/>
    <n v="18"/>
    <n v="20790"/>
    <n v="900"/>
    <n v="6930"/>
    <n v="-8"/>
    <s v="DSC Steel"/>
    <n v="0"/>
    <n v="0.13272727272727269"/>
    <n v="29133.226324237559"/>
    <n v="2022"/>
    <n v="300"/>
  </r>
  <r>
    <n v="91"/>
    <s v="شركة سليمان ذياب النعيمات"/>
    <x v="30"/>
    <s v="Steel Structure"/>
    <d v="2022-10-05T00:00:00"/>
    <d v="2022-10-11T00:00:00"/>
    <n v="72000"/>
    <n v="6"/>
    <n v="8"/>
    <n v="39"/>
    <n v="46800"/>
    <n v="1950"/>
    <n v="14400"/>
    <n v="-2"/>
    <s v="DSC Steel"/>
    <n v="0"/>
    <n v="0.12291666666666667"/>
    <n v="64118.738404452684"/>
    <n v="2022"/>
    <n v="850"/>
  </r>
  <r>
    <n v="92"/>
    <s v="مؤسسة طارق ابوشهاب للمقاولات"/>
    <x v="70"/>
    <s v="Steel Structure"/>
    <d v="2022-10-16T00:00:00"/>
    <d v="2022-10-21T00:00:00"/>
    <n v="52000"/>
    <n v="5"/>
    <n v="10"/>
    <n v="28"/>
    <n v="28600.000000000004"/>
    <n v="1400"/>
    <n v="11440"/>
    <n v="-5"/>
    <s v="DSC Steel"/>
    <n v="0"/>
    <n v="0.20307692307692304"/>
    <n v="43222.506393861891"/>
    <n v="2022"/>
    <n v="320"/>
  </r>
  <r>
    <n v="93"/>
    <s v="شركة بن عرب لتجارة المكسرات"/>
    <x v="44"/>
    <s v="Steel Structure"/>
    <d v="2022-10-23T00:00:00"/>
    <d v="2022-10-24T00:00:00"/>
    <n v="11800"/>
    <n v="1"/>
    <n v="2"/>
    <n v="7"/>
    <n v="6962"/>
    <n v="350"/>
    <n v="2478"/>
    <n v="-1"/>
    <s v="DSC Steel"/>
    <n v="0"/>
    <n v="0.17033898305084749"/>
    <n v="10082.548877624909"/>
    <n v="2022"/>
    <n v="180"/>
  </r>
  <r>
    <n v="94"/>
    <s v="شركة ايلاف الصناعية لتشكيل المعادن عطا رباح"/>
    <x v="71"/>
    <s v="Steel Structure"/>
    <d v="2022-10-25T00:00:00"/>
    <d v="2022-10-28T00:00:00"/>
    <n v="31912"/>
    <n v="3"/>
    <n v="13"/>
    <n v="18"/>
    <n v="19147.2"/>
    <n v="900"/>
    <n v="6382.4000000000005"/>
    <n v="-10"/>
    <s v="DSC Steel"/>
    <n v="0"/>
    <n v="0.17179744296816235"/>
    <n v="27233.375692617079"/>
    <n v="2022"/>
    <n v="250"/>
  </r>
  <r>
    <n v="95"/>
    <s v="شركة اسمنت القطرانه"/>
    <x v="72"/>
    <s v="Steel Structure"/>
    <d v="2022-10-18T00:00:00"/>
    <d v="2022-10-28T00:00:00"/>
    <n v="115000"/>
    <n v="10"/>
    <n v="13"/>
    <n v="62"/>
    <n v="75900"/>
    <n v="3100"/>
    <n v="25300"/>
    <n v="-3"/>
    <s v="DSC Steel"/>
    <n v="10000"/>
    <n v="9.3043478260869561E-2"/>
    <n v="105210.81941129673"/>
    <n v="2022"/>
    <n v="0"/>
  </r>
  <r>
    <n v="96"/>
    <s v="شركة هوى بغداد للمطاعم السياحية"/>
    <x v="30"/>
    <s v="Steel Structure"/>
    <d v="2023-01-07T00:00:00"/>
    <d v="2023-01-13T00:00:00"/>
    <n v="68000"/>
    <n v="6"/>
    <n v="6"/>
    <n v="37"/>
    <n v="40120"/>
    <n v="1850"/>
    <n v="14280"/>
    <n v="0"/>
    <s v="DSC Steel"/>
    <n v="0"/>
    <n v="0.17279411764705888"/>
    <n v="57981.191222570531"/>
    <n v="2023"/>
    <n v="600"/>
  </r>
  <r>
    <n v="97"/>
    <s v="الشركة العربية للتجارة والصناعات الغذائية / الوادي"/>
    <x v="30"/>
    <s v="Steel Structure"/>
    <d v="2023-01-15T00:00:00"/>
    <d v="2023-01-18T00:00:00"/>
    <n v="30000"/>
    <n v="3"/>
    <n v="4"/>
    <n v="16"/>
    <n v="18600"/>
    <n v="800"/>
    <n v="6000"/>
    <n v="-1"/>
    <s v="DSC Steel"/>
    <n v="0"/>
    <n v="0.15333333333333332"/>
    <n v="26011.560693641619"/>
    <n v="2023"/>
    <n v="400"/>
  </r>
  <r>
    <n v="98"/>
    <s v="عبدالله ابودية/ الرمثا"/>
    <x v="30"/>
    <s v="Steel Structure"/>
    <d v="2023-01-05T00:00:00"/>
    <d v="2023-01-10T00:00:00"/>
    <n v="50000"/>
    <n v="5"/>
    <n v="5"/>
    <n v="27"/>
    <n v="30500"/>
    <n v="1350"/>
    <n v="11000"/>
    <n v="0"/>
    <s v="DSC Steel"/>
    <n v="0"/>
    <n v="0.14300000000000002"/>
    <n v="43744.531933508311"/>
    <n v="2023"/>
    <n v="738"/>
  </r>
  <r>
    <n v="99"/>
    <s v="محمد خليل ابوخضرة / الرقيم"/>
    <x v="30"/>
    <s v="Steel Structure"/>
    <d v="2023-06-10T00:00:00"/>
    <d v="2023-06-14T00:00:00"/>
    <n v="43000"/>
    <n v="4"/>
    <n v="12"/>
    <n v="23"/>
    <n v="25370"/>
    <n v="1150"/>
    <n v="9030"/>
    <n v="-8"/>
    <s v="DSC Steel"/>
    <n v="0"/>
    <n v="0.17325581395348832"/>
    <n v="36650.148662041625"/>
    <n v="2023"/>
    <n v="725"/>
  </r>
  <r>
    <n v="100"/>
    <s v="شركة الريف للمقاولات / مخلد المجالي مرج الحمام"/>
    <x v="30"/>
    <s v="Steel Structure"/>
    <d v="2023-07-12T00:00:00"/>
    <d v="2023-07-21T00:00:00"/>
    <n v="100000"/>
    <n v="9"/>
    <n v="11"/>
    <n v="54"/>
    <n v="55000.000000000007"/>
    <n v="2700"/>
    <n v="20000"/>
    <n v="-2"/>
    <s v="DSC Steel"/>
    <n v="0"/>
    <n v="0.22299999999999998"/>
    <n v="81766.14881439085"/>
    <n v="2023"/>
    <n v="1050"/>
  </r>
  <r>
    <n v="101"/>
    <s v="شركة اكتفاء / مشروع جويحان"/>
    <x v="30"/>
    <s v="Steel Structure"/>
    <d v="2023-08-30T00:00:00"/>
    <d v="2024-01-20T00:00:00"/>
    <n v="1711000"/>
    <n v="143"/>
    <n v="148"/>
    <n v="913"/>
    <n v="1146370"/>
    <n v="45650"/>
    <n v="376420"/>
    <n v="-5"/>
    <s v="DSC Steel"/>
    <n v="0"/>
    <n v="8.3319696084161343E-2"/>
    <n v="1579404.4972916981"/>
    <n v="2023"/>
    <n v="5000"/>
  </r>
  <r>
    <n v="102"/>
    <s v="شركة رمز للمقاولات / البستنجي"/>
    <x v="30"/>
    <s v="Steel Structure"/>
    <d v="2023-12-06T00:00:00"/>
    <d v="2023-12-15T00:00:00"/>
    <n v="100000"/>
    <n v="9"/>
    <n v="10"/>
    <n v="54"/>
    <n v="68000"/>
    <n v="2700"/>
    <n v="21000"/>
    <n v="-1"/>
    <s v="DSC Steel"/>
    <n v="0"/>
    <n v="8.2999999999999963E-2"/>
    <n v="92336.103416435828"/>
    <n v="2023"/>
    <n v="1050"/>
  </r>
  <r>
    <n v="103"/>
    <s v="شركة معروف للصناعات الغذائية"/>
    <x v="44"/>
    <s v="Steel Structure"/>
    <d v="2023-06-14T00:00:00"/>
    <d v="2023-06-16T00:00:00"/>
    <n v="18000"/>
    <n v="2"/>
    <n v="12"/>
    <n v="10"/>
    <n v="8100"/>
    <n v="500"/>
    <n v="3600"/>
    <n v="-10"/>
    <s v="DSC Steel"/>
    <n v="1"/>
    <n v="0.32222222222222219"/>
    <n v="13613.44537815126"/>
    <n v="2023"/>
    <n v="180"/>
  </r>
  <r>
    <n v="104"/>
    <s v="شركة الجناح الذهبي"/>
    <x v="73"/>
    <s v="Steel Structure"/>
    <d v="2023-06-15T00:00:00"/>
    <d v="2023-06-23T00:00:00"/>
    <n v="95000"/>
    <n v="8"/>
    <n v="11"/>
    <n v="51"/>
    <n v="61750"/>
    <n v="2550"/>
    <n v="20900"/>
    <n v="-3"/>
    <s v="DSC Steel"/>
    <n v="2"/>
    <n v="0.10315789473684212"/>
    <n v="86116.412213740463"/>
    <n v="2023"/>
    <n v="1050"/>
  </r>
  <r>
    <n v="105"/>
    <s v="القيادة العامة الشركة العربية الدولية"/>
    <x v="74"/>
    <s v="Steel Structure"/>
    <d v="2023-06-16T00:00:00"/>
    <d v="2023-12-15T00:00:00"/>
    <n v="2175000"/>
    <n v="182"/>
    <n v="182"/>
    <n v="1160"/>
    <n v="1370250"/>
    <n v="58000"/>
    <n v="456750"/>
    <n v="0"/>
    <s v="DSC Steel"/>
    <n v="3"/>
    <n v="0.1333333333333333"/>
    <n v="1919117.6470588236"/>
    <n v="2023"/>
    <n v="93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1AEA9F-5758-45FB-9032-6F1C2376B52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C77" firstHeaderRow="0" firstDataRow="1" firstDataCol="1"/>
  <pivotFields count="21">
    <pivotField showAll="0"/>
    <pivotField showAll="0"/>
    <pivotField axis="axisRow" showAll="0">
      <items count="76">
        <item x="68"/>
        <item x="44"/>
        <item x="23"/>
        <item x="72"/>
        <item x="50"/>
        <item x="51"/>
        <item x="27"/>
        <item x="30"/>
        <item x="64"/>
        <item x="63"/>
        <item x="66"/>
        <item x="73"/>
        <item x="48"/>
        <item x="52"/>
        <item x="62"/>
        <item x="37"/>
        <item x="10"/>
        <item x="67"/>
        <item x="7"/>
        <item x="8"/>
        <item x="12"/>
        <item x="61"/>
        <item x="59"/>
        <item x="18"/>
        <item x="24"/>
        <item x="43"/>
        <item x="26"/>
        <item x="25"/>
        <item x="22"/>
        <item x="11"/>
        <item x="29"/>
        <item x="60"/>
        <item x="40"/>
        <item x="53"/>
        <item x="13"/>
        <item x="14"/>
        <item x="16"/>
        <item x="15"/>
        <item x="17"/>
        <item x="71"/>
        <item x="58"/>
        <item x="49"/>
        <item x="47"/>
        <item x="65"/>
        <item x="56"/>
        <item x="2"/>
        <item x="20"/>
        <item x="41"/>
        <item x="54"/>
        <item x="55"/>
        <item x="70"/>
        <item x="42"/>
        <item x="28"/>
        <item x="74"/>
        <item x="9"/>
        <item x="35"/>
        <item x="38"/>
        <item x="4"/>
        <item x="1"/>
        <item x="45"/>
        <item x="57"/>
        <item x="3"/>
        <item x="36"/>
        <item x="19"/>
        <item x="69"/>
        <item x="21"/>
        <item x="31"/>
        <item x="32"/>
        <item x="46"/>
        <item x="39"/>
        <item x="33"/>
        <item x="5"/>
        <item x="6"/>
        <item x="0"/>
        <item x="34"/>
        <item t="default"/>
      </items>
    </pivotField>
    <pivotField showAll="0"/>
    <pivotField showAll="0">
      <items count="100">
        <item x="27"/>
        <item x="28"/>
        <item x="30"/>
        <item x="29"/>
        <item x="31"/>
        <item x="0"/>
        <item x="1"/>
        <item x="2"/>
        <item x="3"/>
        <item x="4"/>
        <item x="5"/>
        <item x="33"/>
        <item x="32"/>
        <item x="6"/>
        <item x="47"/>
        <item x="7"/>
        <item x="44"/>
        <item x="42"/>
        <item x="46"/>
        <item x="49"/>
        <item x="43"/>
        <item x="40"/>
        <item x="41"/>
        <item x="8"/>
        <item x="34"/>
        <item x="35"/>
        <item x="36"/>
        <item x="37"/>
        <item x="38"/>
        <item x="39"/>
        <item x="45"/>
        <item x="48"/>
        <item x="50"/>
        <item x="51"/>
        <item x="52"/>
        <item x="53"/>
        <item x="56"/>
        <item x="55"/>
        <item x="9"/>
        <item x="57"/>
        <item x="10"/>
        <item x="58"/>
        <item x="54"/>
        <item x="11"/>
        <item x="12"/>
        <item x="13"/>
        <item x="14"/>
        <item x="62"/>
        <item x="59"/>
        <item x="60"/>
        <item x="61"/>
        <item x="15"/>
        <item x="16"/>
        <item x="63"/>
        <item x="17"/>
        <item x="18"/>
        <item x="19"/>
        <item x="20"/>
        <item x="21"/>
        <item x="65"/>
        <item x="64"/>
        <item x="66"/>
        <item x="67"/>
        <item x="68"/>
        <item x="70"/>
        <item x="71"/>
        <item x="74"/>
        <item x="72"/>
        <item x="73"/>
        <item x="69"/>
        <item x="22"/>
        <item x="76"/>
        <item x="75"/>
        <item x="77"/>
        <item x="78"/>
        <item x="79"/>
        <item x="80"/>
        <item x="81"/>
        <item x="23"/>
        <item x="85"/>
        <item x="83"/>
        <item x="86"/>
        <item x="84"/>
        <item x="87"/>
        <item x="88"/>
        <item x="82"/>
        <item x="24"/>
        <item x="91"/>
        <item x="89"/>
        <item x="90"/>
        <item x="25"/>
        <item x="92"/>
        <item x="96"/>
        <item x="97"/>
        <item x="98"/>
        <item x="93"/>
        <item x="26"/>
        <item x="94"/>
        <item x="95"/>
        <item t="default"/>
      </items>
    </pivotField>
    <pivotField numFmtId="165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1">
    <field x="2"/>
  </rowFields>
  <rowItems count="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ctual Cost" fld="6" subtotal="average" baseField="2" baseItem="0"/>
    <dataField name="Average of Estimated Cost" fld="17" subtotal="average" baseField="2" baseItem="0"/>
  </dataFields>
  <formats count="8">
    <format dxfId="15">
      <pivotArea field="2" type="button" dataOnly="0" labelOnly="1" outline="0" axis="axisRow" fieldPosition="0"/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field="2" type="button" dataOnly="0" labelOnly="1" outline="0" axis="axisRow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">
      <pivotArea grandRow="1" outline="0" collapsedLevelsAreSubtotals="1" fieldPosition="0"/>
    </format>
    <format dxfId="10">
      <pivotArea dataOnly="0" labelOnly="1" grandRow="1" outline="0" fieldPosition="0"/>
    </format>
    <format dxfId="9">
      <pivotArea grandRow="1" outline="0" collapsedLevelsAreSubtotals="1" fieldPosition="0"/>
    </format>
    <format dxfId="8">
      <pivotArea dataOnly="0" labelOnly="1" grandRow="1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BF8C0C-9511-459A-8FCD-D0503CABC0A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C9" firstHeaderRow="0" firstDataRow="1" firstDataCol="1"/>
  <pivotFields count="21">
    <pivotField showAll="0"/>
    <pivotField showAll="0"/>
    <pivotField showAll="0"/>
    <pivotField showAll="0"/>
    <pivotField showAll="0">
      <items count="100">
        <item x="27"/>
        <item x="28"/>
        <item x="30"/>
        <item x="29"/>
        <item x="31"/>
        <item x="0"/>
        <item x="1"/>
        <item x="2"/>
        <item x="3"/>
        <item x="4"/>
        <item x="5"/>
        <item x="33"/>
        <item x="32"/>
        <item x="6"/>
        <item x="47"/>
        <item x="7"/>
        <item x="44"/>
        <item x="42"/>
        <item x="46"/>
        <item x="49"/>
        <item x="43"/>
        <item x="40"/>
        <item x="41"/>
        <item x="8"/>
        <item x="34"/>
        <item x="35"/>
        <item x="36"/>
        <item x="37"/>
        <item x="38"/>
        <item x="39"/>
        <item x="45"/>
        <item x="48"/>
        <item x="50"/>
        <item x="51"/>
        <item x="52"/>
        <item x="53"/>
        <item x="56"/>
        <item x="55"/>
        <item x="9"/>
        <item x="57"/>
        <item x="10"/>
        <item x="58"/>
        <item x="54"/>
        <item x="11"/>
        <item x="12"/>
        <item x="13"/>
        <item x="14"/>
        <item x="62"/>
        <item x="59"/>
        <item x="60"/>
        <item x="61"/>
        <item x="15"/>
        <item x="16"/>
        <item x="63"/>
        <item x="17"/>
        <item x="18"/>
        <item x="19"/>
        <item x="20"/>
        <item x="21"/>
        <item x="65"/>
        <item x="64"/>
        <item x="66"/>
        <item x="67"/>
        <item x="68"/>
        <item x="70"/>
        <item x="71"/>
        <item x="74"/>
        <item x="72"/>
        <item x="73"/>
        <item x="69"/>
        <item x="22"/>
        <item x="76"/>
        <item x="75"/>
        <item x="77"/>
        <item x="78"/>
        <item x="79"/>
        <item x="80"/>
        <item x="81"/>
        <item x="23"/>
        <item x="85"/>
        <item x="83"/>
        <item x="86"/>
        <item x="84"/>
        <item x="87"/>
        <item x="88"/>
        <item x="82"/>
        <item x="24"/>
        <item x="91"/>
        <item x="89"/>
        <item x="90"/>
        <item x="25"/>
        <item x="92"/>
        <item x="96"/>
        <item x="97"/>
        <item x="98"/>
        <item x="93"/>
        <item x="26"/>
        <item x="94"/>
        <item x="95"/>
        <item t="default"/>
      </items>
    </pivotField>
    <pivotField numFmtId="165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0"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/>
      </items>
    </pivotField>
  </pivotFields>
  <rowFields count="1">
    <field x="20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ctual Cost" fld="6" subtotal="average" baseField="20" baseItem="1"/>
    <dataField name="Average of Actual Duration (days)" fld="8" subtotal="average" baseField="20" baseItem="3"/>
  </dataFields>
  <formats count="8">
    <format dxfId="7">
      <pivotArea field="20" type="button" dataOnly="0" labelOnly="1" outline="0" axis="axisRow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field="20" type="button" dataOnly="0" labelOnly="1" outline="0" axis="axisRow" fieldPosition="0"/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F2EDA6-D0E4-48BB-ACFE-C8496301003E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9" firstHeaderRow="0" firstDataRow="1" firstDataCol="1"/>
  <pivotFields count="20">
    <pivotField showAll="0"/>
    <pivotField showAll="0"/>
    <pivotField axis="axisRow" showAll="0">
      <items count="76">
        <item x="68"/>
        <item x="44"/>
        <item x="23"/>
        <item x="72"/>
        <item x="50"/>
        <item x="51"/>
        <item x="27"/>
        <item x="30"/>
        <item x="64"/>
        <item x="63"/>
        <item x="66"/>
        <item x="73"/>
        <item x="48"/>
        <item x="52"/>
        <item x="62"/>
        <item x="37"/>
        <item x="10"/>
        <item x="67"/>
        <item x="7"/>
        <item x="8"/>
        <item x="12"/>
        <item x="61"/>
        <item x="59"/>
        <item x="18"/>
        <item x="24"/>
        <item x="43"/>
        <item x="26"/>
        <item x="25"/>
        <item x="22"/>
        <item x="11"/>
        <item x="29"/>
        <item x="60"/>
        <item x="40"/>
        <item x="53"/>
        <item x="13"/>
        <item x="14"/>
        <item x="16"/>
        <item x="15"/>
        <item x="17"/>
        <item x="71"/>
        <item x="58"/>
        <item x="49"/>
        <item x="47"/>
        <item x="65"/>
        <item x="56"/>
        <item x="2"/>
        <item x="20"/>
        <item x="41"/>
        <item x="54"/>
        <item x="55"/>
        <item x="70"/>
        <item x="42"/>
        <item x="28"/>
        <item x="74"/>
        <item x="9"/>
        <item x="35"/>
        <item x="38"/>
        <item x="4"/>
        <item x="1"/>
        <item x="45"/>
        <item x="57"/>
        <item x="3"/>
        <item x="36"/>
        <item x="19"/>
        <item x="69"/>
        <item x="21"/>
        <item x="31"/>
        <item x="32"/>
        <item x="46"/>
        <item x="39"/>
        <item x="33"/>
        <item x="5"/>
        <item x="6"/>
        <item x="0"/>
        <item x="34"/>
        <item t="default"/>
      </items>
    </pivotField>
    <pivotField showAll="0"/>
    <pivotField showAll="0"/>
    <pivotField numFmtId="165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showAll="0"/>
    <pivotField showAll="0"/>
    <pivotField dataField="1" numFmtId="2" showAll="0"/>
  </pivotFields>
  <rowFields count="1">
    <field x="2"/>
  </rowFields>
  <rowItems count="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REA (M2)" fld="19" baseField="2" baseItem="5" numFmtId="2"/>
    <dataField name="Sum of Actual Cost" fld="6" baseField="0" baseItem="0"/>
    <dataField name="Sum of Actual Duration (days)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CDBFB4-43D2-416C-B3E1-E098CA28C39C}" name="Table1" displayName="Table1" ref="A1:S106" totalsRowShown="0" headerRowDxfId="39" dataDxfId="37" headerRowBorderDxfId="38" tableBorderDxfId="36" totalsRowBorderDxfId="35">
  <autoFilter ref="A1:S106" xr:uid="{50CDBFB4-43D2-416C-B3E1-E098CA28C39C}"/>
  <tableColumns count="19">
    <tableColumn id="1" xr3:uid="{6AF16DAF-B84E-4658-B942-3D77B40B3DEF}" name="Project ID" dataDxfId="34"/>
    <tableColumn id="2" xr3:uid="{28CAAC53-8EB7-4F46-B728-6F04CB291080}" name="Location" dataDxfId="33"/>
    <tableColumn id="3" xr3:uid="{708863BE-3812-4709-8CDF-1F6FD199C224}" name="Project Name" dataDxfId="32"/>
    <tableColumn id="4" xr3:uid="{9A04AF21-43EC-466C-81D4-CA6E9AD0E05B}" name="Project Type" dataDxfId="31"/>
    <tableColumn id="5" xr3:uid="{751CEC94-EC1B-4058-BF3A-2B2FD0EF4FE1}" name="Start Date" dataDxfId="30"/>
    <tableColumn id="6" xr3:uid="{EBEECE27-F856-49D0-9084-BAB88BBE73DE}" name="End Date" dataDxfId="29">
      <calculatedColumnFormula>E2+H2</calculatedColumnFormula>
    </tableColumn>
    <tableColumn id="7" xr3:uid="{3F359974-099E-471A-BD4B-2FBE6F18DD94}" name="Actual Cost" dataDxfId="28"/>
    <tableColumn id="8" xr3:uid="{C3C89EF7-6FA5-49DD-9334-45D0FACF09E0}" name="Estimated Duration (days)" dataDxfId="27"/>
    <tableColumn id="9" xr3:uid="{A8834A4F-0FFD-4A8F-B487-88B437007A4E}" name="Actual Duration (days)" dataDxfId="26"/>
    <tableColumn id="10" xr3:uid="{F2A65443-AAD1-442B-A82C-A3505BE53A41}" name="Number of Workers" dataDxfId="25"/>
    <tableColumn id="11" xr3:uid="{AB25DCEA-3439-4E8F-AB37-8F554F7BA003}" name="Materials Cost" dataDxfId="24"/>
    <tableColumn id="12" xr3:uid="{DDCB317E-7951-477E-9AF8-2D6B35172FA5}" name="Labor Cost" dataDxfId="23"/>
    <tableColumn id="13" xr3:uid="{FFD8C5DA-C618-493A-A09A-54E750356895}" name="Equipment Cost" dataDxfId="22"/>
    <tableColumn id="14" xr3:uid="{F24EA58F-1828-4855-8E1F-57A3E7339477}" name="Delay Days" dataDxfId="21"/>
    <tableColumn id="15" xr3:uid="{2896A728-BEE5-4CA6-B3B2-F68D305FF46C}" name="Contractor" dataDxfId="20"/>
    <tableColumn id="16" xr3:uid="{8B6F74D4-FB3B-4CAA-A068-E089D06B2558}" name="Change Orders" dataDxfId="19"/>
    <tableColumn id="17" xr3:uid="{2A03D25C-B795-4A0B-83BA-661D4836FC85}" name="Budget Overrun (%)" dataDxfId="18"/>
    <tableColumn id="18" xr3:uid="{91A2A659-2A3C-4C5C-8132-0BB0DF8B8F62}" name="Estimated Cost" dataDxfId="17">
      <calculatedColumnFormula>Table1[[#This Row],[Actual Cost]]/(1+Table1[[#This Row],[Budget Overrun (%)]])</calculatedColumnFormula>
    </tableColumn>
    <tableColumn id="20" xr3:uid="{008D3FB4-3578-40E8-BF00-B5DEC112EDE8}" name="AREA (M2)" dataDxfId="16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CC8CB-D98F-4A84-8DD2-6F4F345979FF}">
  <dimension ref="A1:S106"/>
  <sheetViews>
    <sheetView topLeftCell="G1" zoomScale="92" zoomScaleNormal="92" workbookViewId="0">
      <selection activeCell="K13" sqref="K13"/>
    </sheetView>
  </sheetViews>
  <sheetFormatPr defaultRowHeight="14.5" x14ac:dyDescent="0.35"/>
  <cols>
    <col min="1" max="1" width="14.1796875" bestFit="1" customWidth="1"/>
    <col min="2" max="2" width="40.7265625" bestFit="1" customWidth="1"/>
    <col min="3" max="3" width="55.26953125" bestFit="1" customWidth="1"/>
    <col min="4" max="4" width="14.1796875" bestFit="1" customWidth="1"/>
    <col min="5" max="5" width="12.1796875" bestFit="1" customWidth="1"/>
    <col min="6" max="6" width="11.1796875" bestFit="1" customWidth="1"/>
    <col min="7" max="7" width="13.54296875" bestFit="1" customWidth="1"/>
    <col min="8" max="8" width="26.7265625" bestFit="1" customWidth="1"/>
    <col min="9" max="9" width="23.453125" bestFit="1" customWidth="1"/>
    <col min="10" max="10" width="20.6328125" bestFit="1" customWidth="1"/>
    <col min="11" max="11" width="16.26953125" bestFit="1" customWidth="1"/>
    <col min="12" max="12" width="12.7265625" bestFit="1" customWidth="1"/>
    <col min="13" max="13" width="17.6328125" bestFit="1" customWidth="1"/>
    <col min="14" max="14" width="13.08984375" bestFit="1" customWidth="1"/>
    <col min="15" max="15" width="12.90625" bestFit="1" customWidth="1"/>
    <col min="16" max="16" width="16.6328125" bestFit="1" customWidth="1"/>
    <col min="17" max="17" width="20.6328125" bestFit="1" customWidth="1"/>
    <col min="18" max="18" width="16.90625" bestFit="1" customWidth="1"/>
    <col min="19" max="19" width="12.1796875" bestFit="1" customWidth="1"/>
  </cols>
  <sheetData>
    <row r="1" spans="1:19" ht="16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2" t="s">
        <v>18</v>
      </c>
    </row>
    <row r="2" spans="1:19" ht="16" x14ac:dyDescent="0.4">
      <c r="A2" s="4">
        <v>1</v>
      </c>
      <c r="B2" s="5" t="s">
        <v>19</v>
      </c>
      <c r="C2" s="5" t="s">
        <v>20</v>
      </c>
      <c r="D2" s="5" t="s">
        <v>21</v>
      </c>
      <c r="E2" s="6">
        <v>43012</v>
      </c>
      <c r="F2" s="7">
        <f>E2+H2</f>
        <v>43102</v>
      </c>
      <c r="G2" s="5">
        <v>152794</v>
      </c>
      <c r="H2" s="5">
        <v>90</v>
      </c>
      <c r="I2" s="5">
        <v>92</v>
      </c>
      <c r="J2" s="5">
        <v>82</v>
      </c>
      <c r="K2" s="5">
        <v>91676.4</v>
      </c>
      <c r="L2" s="5">
        <v>4100</v>
      </c>
      <c r="M2" s="5">
        <v>30558.800000000003</v>
      </c>
      <c r="N2" s="5">
        <v>-2</v>
      </c>
      <c r="O2" s="5" t="s">
        <v>22</v>
      </c>
      <c r="P2" s="5">
        <v>32206</v>
      </c>
      <c r="Q2" s="8">
        <v>0.17316648559498415</v>
      </c>
      <c r="R2" s="9">
        <f>Table1[[#This Row],[Actual Cost]]/(1+Table1[[#This Row],[Budget Overrun (%)]])</f>
        <v>130240.67928646023</v>
      </c>
      <c r="S2" s="10">
        <v>700</v>
      </c>
    </row>
    <row r="3" spans="1:19" ht="16" x14ac:dyDescent="0.4">
      <c r="A3" s="4">
        <v>2</v>
      </c>
      <c r="B3" s="5" t="s">
        <v>23</v>
      </c>
      <c r="C3" s="5" t="s">
        <v>24</v>
      </c>
      <c r="D3" s="5" t="s">
        <v>21</v>
      </c>
      <c r="E3" s="6">
        <v>43097</v>
      </c>
      <c r="F3" s="7">
        <f t="shared" ref="F3:F66" si="0">E3+H3</f>
        <v>43277</v>
      </c>
      <c r="G3" s="5">
        <v>187923</v>
      </c>
      <c r="H3" s="5">
        <v>180</v>
      </c>
      <c r="I3" s="5">
        <v>185</v>
      </c>
      <c r="J3" s="5">
        <v>101</v>
      </c>
      <c r="K3" s="5">
        <v>122149.95</v>
      </c>
      <c r="L3" s="5">
        <v>5050</v>
      </c>
      <c r="M3" s="5">
        <v>41343.06</v>
      </c>
      <c r="N3" s="5">
        <v>-5</v>
      </c>
      <c r="O3" s="5" t="s">
        <v>22</v>
      </c>
      <c r="P3" s="5">
        <v>0</v>
      </c>
      <c r="Q3" s="8">
        <v>0.10312729149704924</v>
      </c>
      <c r="R3" s="5">
        <f>Table1[[#This Row],[Actual Cost]]/(1+Table1[[#This Row],[Budget Overrun (%)]])</f>
        <v>170354.77360456789</v>
      </c>
      <c r="S3" s="10">
        <v>500</v>
      </c>
    </row>
    <row r="4" spans="1:19" ht="16" x14ac:dyDescent="0.4">
      <c r="A4" s="4">
        <v>3</v>
      </c>
      <c r="B4" s="5" t="s">
        <v>25</v>
      </c>
      <c r="C4" s="5" t="s">
        <v>26</v>
      </c>
      <c r="D4" s="5" t="s">
        <v>21</v>
      </c>
      <c r="E4" s="6">
        <v>43142</v>
      </c>
      <c r="F4" s="7">
        <f t="shared" si="0"/>
        <v>43262</v>
      </c>
      <c r="G4" s="5">
        <v>86500</v>
      </c>
      <c r="H4" s="5">
        <v>120</v>
      </c>
      <c r="I4" s="5">
        <v>121</v>
      </c>
      <c r="J4" s="5">
        <v>47</v>
      </c>
      <c r="K4" s="5">
        <v>54495</v>
      </c>
      <c r="L4" s="5">
        <v>2350</v>
      </c>
      <c r="M4" s="5">
        <v>18165</v>
      </c>
      <c r="N4" s="5">
        <v>-1</v>
      </c>
      <c r="O4" s="5" t="s">
        <v>22</v>
      </c>
      <c r="P4" s="5">
        <v>0</v>
      </c>
      <c r="Q4" s="8">
        <v>0.13283236994219649</v>
      </c>
      <c r="R4" s="5">
        <f>Table1[[#This Row],[Actual Cost]]/(1+Table1[[#This Row],[Budget Overrun (%)]])</f>
        <v>76357.281355240339</v>
      </c>
      <c r="S4" s="10">
        <v>1200</v>
      </c>
    </row>
    <row r="5" spans="1:19" ht="16" x14ac:dyDescent="0.4">
      <c r="A5" s="4">
        <v>4</v>
      </c>
      <c r="B5" s="5" t="s">
        <v>27</v>
      </c>
      <c r="C5" s="5" t="s">
        <v>28</v>
      </c>
      <c r="D5" s="5" t="s">
        <v>21</v>
      </c>
      <c r="E5" s="6">
        <v>43170</v>
      </c>
      <c r="F5" s="7">
        <f t="shared" si="0"/>
        <v>43260</v>
      </c>
      <c r="G5" s="5">
        <v>47000</v>
      </c>
      <c r="H5" s="5">
        <v>90</v>
      </c>
      <c r="I5" s="5">
        <v>100</v>
      </c>
      <c r="J5" s="5">
        <v>26</v>
      </c>
      <c r="K5" s="5">
        <v>28200</v>
      </c>
      <c r="L5" s="5">
        <v>1300</v>
      </c>
      <c r="M5" s="5">
        <v>9400</v>
      </c>
      <c r="N5" s="5">
        <v>-10</v>
      </c>
      <c r="O5" s="5" t="s">
        <v>22</v>
      </c>
      <c r="P5" s="5">
        <v>0</v>
      </c>
      <c r="Q5" s="8">
        <v>0.17234042553191486</v>
      </c>
      <c r="R5" s="5">
        <f>Table1[[#This Row],[Actual Cost]]/(1+Table1[[#This Row],[Budget Overrun (%)]])</f>
        <v>40090.744101633398</v>
      </c>
      <c r="S5" s="10">
        <v>560</v>
      </c>
    </row>
    <row r="6" spans="1:19" ht="16" x14ac:dyDescent="0.4">
      <c r="A6" s="4">
        <v>5</v>
      </c>
      <c r="B6" s="5" t="s">
        <v>29</v>
      </c>
      <c r="C6" s="5" t="s">
        <v>30</v>
      </c>
      <c r="D6" s="5" t="s">
        <v>21</v>
      </c>
      <c r="E6" s="6">
        <v>43212</v>
      </c>
      <c r="F6" s="7">
        <f t="shared" si="0"/>
        <v>43392</v>
      </c>
      <c r="G6" s="5">
        <v>466900</v>
      </c>
      <c r="H6" s="5">
        <v>180</v>
      </c>
      <c r="I6" s="5">
        <v>183</v>
      </c>
      <c r="J6" s="5">
        <v>250</v>
      </c>
      <c r="K6" s="5">
        <v>303485</v>
      </c>
      <c r="L6" s="5">
        <v>12500</v>
      </c>
      <c r="M6" s="5">
        <v>116725</v>
      </c>
      <c r="N6" s="5">
        <v>-3</v>
      </c>
      <c r="O6" s="5" t="s">
        <v>22</v>
      </c>
      <c r="P6" s="5">
        <v>0</v>
      </c>
      <c r="Q6" s="8">
        <v>7.3227671878346556E-2</v>
      </c>
      <c r="R6" s="5">
        <f>Table1[[#This Row],[Actual Cost]]/(1+Table1[[#This Row],[Budget Overrun (%)]])</f>
        <v>435042.82663792936</v>
      </c>
      <c r="S6" s="10">
        <v>10000</v>
      </c>
    </row>
    <row r="7" spans="1:19" ht="16" x14ac:dyDescent="0.4">
      <c r="A7" s="4">
        <v>6</v>
      </c>
      <c r="B7" s="5" t="s">
        <v>29</v>
      </c>
      <c r="C7" s="5" t="s">
        <v>31</v>
      </c>
      <c r="D7" s="5" t="s">
        <v>21</v>
      </c>
      <c r="E7" s="6">
        <v>43271</v>
      </c>
      <c r="F7" s="7">
        <f t="shared" si="0"/>
        <v>43511</v>
      </c>
      <c r="G7" s="5">
        <v>1120000</v>
      </c>
      <c r="H7" s="5">
        <v>240</v>
      </c>
      <c r="I7" s="5">
        <v>240</v>
      </c>
      <c r="J7" s="5">
        <v>598</v>
      </c>
      <c r="K7" s="5">
        <v>705600</v>
      </c>
      <c r="L7" s="5">
        <v>29900</v>
      </c>
      <c r="M7" s="5">
        <v>313600.00000000006</v>
      </c>
      <c r="N7" s="5">
        <v>0</v>
      </c>
      <c r="O7" s="5" t="s">
        <v>22</v>
      </c>
      <c r="P7" s="5">
        <v>-73832</v>
      </c>
      <c r="Q7" s="8">
        <v>6.3303571428571459E-2</v>
      </c>
      <c r="R7" s="5">
        <f>Table1[[#This Row],[Actual Cost]]/(1+Table1[[#This Row],[Budget Overrun (%)]])</f>
        <v>1053321.0177176925</v>
      </c>
      <c r="S7" s="10">
        <v>9800</v>
      </c>
    </row>
    <row r="8" spans="1:19" ht="16" x14ac:dyDescent="0.4">
      <c r="A8" s="4">
        <v>7</v>
      </c>
      <c r="B8" s="5" t="s">
        <v>32</v>
      </c>
      <c r="C8" s="5" t="s">
        <v>33</v>
      </c>
      <c r="D8" s="5" t="s">
        <v>21</v>
      </c>
      <c r="E8" s="6">
        <v>43271</v>
      </c>
      <c r="F8" s="7">
        <f t="shared" si="0"/>
        <v>43511</v>
      </c>
      <c r="G8" s="5">
        <v>1130000</v>
      </c>
      <c r="H8" s="5">
        <v>240</v>
      </c>
      <c r="I8" s="5">
        <v>241</v>
      </c>
      <c r="J8" s="5">
        <v>603</v>
      </c>
      <c r="K8" s="5">
        <v>678000</v>
      </c>
      <c r="L8" s="5">
        <v>30150</v>
      </c>
      <c r="M8" s="5">
        <v>226000</v>
      </c>
      <c r="N8" s="5">
        <v>-1</v>
      </c>
      <c r="O8" s="5" t="s">
        <v>22</v>
      </c>
      <c r="P8" s="5">
        <v>396278</v>
      </c>
      <c r="Q8" s="8">
        <v>0.17331858407079648</v>
      </c>
      <c r="R8" s="5">
        <f>Table1[[#This Row],[Actual Cost]]/(1+Table1[[#This Row],[Budget Overrun (%)]])</f>
        <v>963080.28811705695</v>
      </c>
      <c r="S8" s="10">
        <v>10300</v>
      </c>
    </row>
    <row r="9" spans="1:19" ht="16" x14ac:dyDescent="0.4">
      <c r="A9" s="4">
        <v>8</v>
      </c>
      <c r="B9" s="5" t="s">
        <v>34</v>
      </c>
      <c r="C9" s="5" t="s">
        <v>35</v>
      </c>
      <c r="D9" s="5" t="s">
        <v>21</v>
      </c>
      <c r="E9" s="6">
        <v>43419</v>
      </c>
      <c r="F9" s="7">
        <f t="shared" si="0"/>
        <v>43509</v>
      </c>
      <c r="G9" s="5">
        <v>49970</v>
      </c>
      <c r="H9" s="5">
        <v>90</v>
      </c>
      <c r="I9" s="5">
        <v>90</v>
      </c>
      <c r="J9" s="5">
        <v>27</v>
      </c>
      <c r="K9" s="5">
        <v>32480.5</v>
      </c>
      <c r="L9" s="5">
        <v>1350</v>
      </c>
      <c r="M9" s="5">
        <v>7495.5</v>
      </c>
      <c r="N9" s="5">
        <v>0</v>
      </c>
      <c r="O9" s="5" t="s">
        <v>22</v>
      </c>
      <c r="P9" s="5">
        <v>0</v>
      </c>
      <c r="Q9" s="8">
        <v>0.17298379027416455</v>
      </c>
      <c r="R9" s="5">
        <f>Table1[[#This Row],[Actual Cost]]/(1+Table1[[#This Row],[Budget Overrun (%)]])</f>
        <v>42600.759204285663</v>
      </c>
      <c r="S9" s="10">
        <v>216</v>
      </c>
    </row>
    <row r="10" spans="1:19" ht="16" x14ac:dyDescent="0.4">
      <c r="A10" s="4">
        <v>9</v>
      </c>
      <c r="B10" s="5" t="s">
        <v>34</v>
      </c>
      <c r="C10" s="5" t="s">
        <v>36</v>
      </c>
      <c r="D10" s="5" t="s">
        <v>21</v>
      </c>
      <c r="E10" s="11">
        <v>43496</v>
      </c>
      <c r="F10" s="7">
        <f t="shared" si="0"/>
        <v>43586</v>
      </c>
      <c r="G10" s="5">
        <v>49875</v>
      </c>
      <c r="H10" s="5">
        <v>90</v>
      </c>
      <c r="I10" s="5">
        <v>98</v>
      </c>
      <c r="J10" s="5">
        <v>27</v>
      </c>
      <c r="K10" s="5">
        <v>31421.25</v>
      </c>
      <c r="L10" s="5">
        <v>1350</v>
      </c>
      <c r="M10" s="5">
        <v>14962.5</v>
      </c>
      <c r="N10" s="5">
        <v>-8</v>
      </c>
      <c r="O10" s="5" t="s">
        <v>22</v>
      </c>
      <c r="P10" s="5">
        <v>0</v>
      </c>
      <c r="Q10" s="8">
        <v>4.2932330827067711E-2</v>
      </c>
      <c r="R10" s="5">
        <f>Table1[[#This Row],[Actual Cost]]/(1+Table1[[#This Row],[Budget Overrun (%)]])</f>
        <v>47821.894600245112</v>
      </c>
      <c r="S10" s="10">
        <v>252</v>
      </c>
    </row>
    <row r="11" spans="1:19" ht="16" x14ac:dyDescent="0.4">
      <c r="A11" s="4">
        <v>10</v>
      </c>
      <c r="B11" s="5" t="s">
        <v>37</v>
      </c>
      <c r="C11" s="5" t="s">
        <v>38</v>
      </c>
      <c r="D11" s="5" t="s">
        <v>21</v>
      </c>
      <c r="E11" s="6">
        <v>43786</v>
      </c>
      <c r="F11" s="7">
        <f t="shared" si="0"/>
        <v>43906</v>
      </c>
      <c r="G11" s="5">
        <v>120000</v>
      </c>
      <c r="H11" s="5">
        <v>120</v>
      </c>
      <c r="I11" s="5">
        <v>122</v>
      </c>
      <c r="J11" s="5">
        <v>64</v>
      </c>
      <c r="K11" s="5">
        <v>72000</v>
      </c>
      <c r="L11" s="5">
        <v>3200</v>
      </c>
      <c r="M11" s="5">
        <v>30000</v>
      </c>
      <c r="N11" s="5">
        <v>-2</v>
      </c>
      <c r="O11" s="5" t="s">
        <v>22</v>
      </c>
      <c r="P11" s="5">
        <v>33000</v>
      </c>
      <c r="Q11" s="8">
        <v>0.12333333333333329</v>
      </c>
      <c r="R11" s="5">
        <f>Table1[[#This Row],[Actual Cost]]/(1+Table1[[#This Row],[Budget Overrun (%)]])</f>
        <v>106824.92581602374</v>
      </c>
      <c r="S11" s="10">
        <v>1200</v>
      </c>
    </row>
    <row r="12" spans="1:19" ht="16" x14ac:dyDescent="0.4">
      <c r="A12" s="4">
        <v>11</v>
      </c>
      <c r="B12" s="5" t="s">
        <v>39</v>
      </c>
      <c r="C12" s="5" t="s">
        <v>40</v>
      </c>
      <c r="D12" s="5" t="s">
        <v>21</v>
      </c>
      <c r="E12" s="6">
        <v>43852</v>
      </c>
      <c r="F12" s="7">
        <f t="shared" si="0"/>
        <v>43859</v>
      </c>
      <c r="G12" s="5">
        <v>6600</v>
      </c>
      <c r="H12" s="5">
        <v>7</v>
      </c>
      <c r="I12" s="5">
        <v>12</v>
      </c>
      <c r="J12" s="5">
        <v>4</v>
      </c>
      <c r="K12" s="5">
        <v>4290</v>
      </c>
      <c r="L12" s="5">
        <v>200</v>
      </c>
      <c r="M12" s="5">
        <v>1188</v>
      </c>
      <c r="N12" s="5">
        <v>-5</v>
      </c>
      <c r="O12" s="5" t="s">
        <v>22</v>
      </c>
      <c r="P12" s="5">
        <v>0</v>
      </c>
      <c r="Q12" s="8">
        <v>0.13969696969696965</v>
      </c>
      <c r="R12" s="5">
        <f>Table1[[#This Row],[Actual Cost]]/(1+Table1[[#This Row],[Budget Overrun (%)]])</f>
        <v>5791.0130284498809</v>
      </c>
      <c r="S12" s="10">
        <v>60</v>
      </c>
    </row>
    <row r="13" spans="1:19" ht="16" x14ac:dyDescent="0.4">
      <c r="A13" s="4">
        <v>12</v>
      </c>
      <c r="B13" s="5" t="s">
        <v>41</v>
      </c>
      <c r="C13" s="5" t="s">
        <v>42</v>
      </c>
      <c r="D13" s="5" t="s">
        <v>21</v>
      </c>
      <c r="E13" s="6">
        <v>43871</v>
      </c>
      <c r="F13" s="7">
        <f t="shared" si="0"/>
        <v>44121</v>
      </c>
      <c r="G13" s="5">
        <v>60000</v>
      </c>
      <c r="H13" s="5">
        <v>250</v>
      </c>
      <c r="I13" s="5">
        <v>251</v>
      </c>
      <c r="J13" s="5">
        <v>32</v>
      </c>
      <c r="K13" s="5">
        <v>37800</v>
      </c>
      <c r="L13" s="5">
        <v>1600</v>
      </c>
      <c r="M13" s="5">
        <v>16800</v>
      </c>
      <c r="N13" s="5">
        <v>-1</v>
      </c>
      <c r="O13" s="5" t="s">
        <v>22</v>
      </c>
      <c r="P13" s="5">
        <v>51000</v>
      </c>
      <c r="Q13" s="8">
        <v>6.3333333333333353E-2</v>
      </c>
      <c r="R13" s="5">
        <f>Table1[[#This Row],[Actual Cost]]/(1+Table1[[#This Row],[Budget Overrun (%)]])</f>
        <v>56426.332288401245</v>
      </c>
      <c r="S13" s="10">
        <v>524</v>
      </c>
    </row>
    <row r="14" spans="1:19" ht="16" x14ac:dyDescent="0.4">
      <c r="A14" s="4">
        <v>13</v>
      </c>
      <c r="B14" s="5" t="s">
        <v>34</v>
      </c>
      <c r="C14" s="5" t="s">
        <v>43</v>
      </c>
      <c r="D14" s="5" t="s">
        <v>21</v>
      </c>
      <c r="E14" s="6">
        <v>44000</v>
      </c>
      <c r="F14" s="7">
        <f t="shared" si="0"/>
        <v>44030</v>
      </c>
      <c r="G14" s="5">
        <v>9500</v>
      </c>
      <c r="H14" s="5">
        <v>30</v>
      </c>
      <c r="I14" s="5">
        <v>40</v>
      </c>
      <c r="J14" s="5">
        <v>6</v>
      </c>
      <c r="K14" s="5">
        <v>5700</v>
      </c>
      <c r="L14" s="5">
        <v>300</v>
      </c>
      <c r="M14" s="5">
        <v>1805</v>
      </c>
      <c r="N14" s="5">
        <v>-10</v>
      </c>
      <c r="O14" s="5" t="s">
        <v>22</v>
      </c>
      <c r="P14" s="5">
        <v>0</v>
      </c>
      <c r="Q14" s="8">
        <v>0.17842105263157892</v>
      </c>
      <c r="R14" s="5">
        <f>Table1[[#This Row],[Actual Cost]]/(1+Table1[[#This Row],[Budget Overrun (%)]])</f>
        <v>8061.6346583296126</v>
      </c>
      <c r="S14" s="10">
        <v>324</v>
      </c>
    </row>
    <row r="15" spans="1:19" ht="16" x14ac:dyDescent="0.4">
      <c r="A15" s="4">
        <v>14</v>
      </c>
      <c r="B15" s="5" t="s">
        <v>44</v>
      </c>
      <c r="C15" s="5" t="s">
        <v>45</v>
      </c>
      <c r="D15" s="5" t="s">
        <v>21</v>
      </c>
      <c r="E15" s="6">
        <v>44069</v>
      </c>
      <c r="F15" s="7">
        <f t="shared" si="0"/>
        <v>44114</v>
      </c>
      <c r="G15" s="5">
        <v>9000</v>
      </c>
      <c r="H15" s="5">
        <v>45</v>
      </c>
      <c r="I15" s="5">
        <v>48</v>
      </c>
      <c r="J15" s="5">
        <v>5</v>
      </c>
      <c r="K15" s="5">
        <v>4950</v>
      </c>
      <c r="L15" s="5">
        <v>250</v>
      </c>
      <c r="M15" s="5">
        <v>3240</v>
      </c>
      <c r="N15" s="5">
        <v>-3</v>
      </c>
      <c r="O15" s="5" t="s">
        <v>22</v>
      </c>
      <c r="P15" s="5">
        <v>0</v>
      </c>
      <c r="Q15" s="8">
        <v>6.2222222222222179E-2</v>
      </c>
      <c r="R15" s="5">
        <f>Table1[[#This Row],[Actual Cost]]/(1+Table1[[#This Row],[Budget Overrun (%)]])</f>
        <v>8472.8033472803345</v>
      </c>
      <c r="S15" s="10">
        <v>150</v>
      </c>
    </row>
    <row r="16" spans="1:19" ht="16" x14ac:dyDescent="0.4">
      <c r="A16" s="4">
        <v>15</v>
      </c>
      <c r="B16" s="5" t="s">
        <v>44</v>
      </c>
      <c r="C16" s="5" t="s">
        <v>46</v>
      </c>
      <c r="D16" s="5" t="s">
        <v>21</v>
      </c>
      <c r="E16" s="6">
        <v>44069</v>
      </c>
      <c r="F16" s="7">
        <f t="shared" si="0"/>
        <v>44114</v>
      </c>
      <c r="G16" s="5">
        <v>10000</v>
      </c>
      <c r="H16" s="5">
        <v>45</v>
      </c>
      <c r="I16" s="5">
        <v>45</v>
      </c>
      <c r="J16" s="5">
        <v>6</v>
      </c>
      <c r="K16" s="5">
        <v>7800</v>
      </c>
      <c r="L16" s="5">
        <v>300</v>
      </c>
      <c r="M16" s="5">
        <v>1500</v>
      </c>
      <c r="N16" s="5">
        <v>0</v>
      </c>
      <c r="O16" s="5" t="s">
        <v>22</v>
      </c>
      <c r="P16" s="5">
        <v>0</v>
      </c>
      <c r="Q16" s="8">
        <v>4.0000000000000036E-2</v>
      </c>
      <c r="R16" s="5">
        <f>Table1[[#This Row],[Actual Cost]]/(1+Table1[[#This Row],[Budget Overrun (%)]])</f>
        <v>9615.3846153846152</v>
      </c>
      <c r="S16" s="10">
        <v>180</v>
      </c>
    </row>
    <row r="17" spans="1:19" ht="16" x14ac:dyDescent="0.4">
      <c r="A17" s="4">
        <v>16</v>
      </c>
      <c r="B17" s="5" t="s">
        <v>44</v>
      </c>
      <c r="C17" s="5" t="s">
        <v>47</v>
      </c>
      <c r="D17" s="5" t="s">
        <v>21</v>
      </c>
      <c r="E17" s="6">
        <v>44069</v>
      </c>
      <c r="F17" s="7">
        <f t="shared" si="0"/>
        <v>44114</v>
      </c>
      <c r="G17" s="5">
        <v>10000</v>
      </c>
      <c r="H17" s="5">
        <v>45</v>
      </c>
      <c r="I17" s="5">
        <v>46</v>
      </c>
      <c r="J17" s="5">
        <v>6</v>
      </c>
      <c r="K17" s="5">
        <v>4800</v>
      </c>
      <c r="L17" s="5">
        <v>300</v>
      </c>
      <c r="M17" s="5">
        <v>3200</v>
      </c>
      <c r="N17" s="5">
        <v>-1</v>
      </c>
      <c r="O17" s="5" t="s">
        <v>22</v>
      </c>
      <c r="P17" s="5">
        <v>0</v>
      </c>
      <c r="Q17" s="8">
        <v>0.17000000000000004</v>
      </c>
      <c r="R17" s="5">
        <f>Table1[[#This Row],[Actual Cost]]/(1+Table1[[#This Row],[Budget Overrun (%)]])</f>
        <v>8547.0085470085469</v>
      </c>
      <c r="S17" s="10">
        <v>180</v>
      </c>
    </row>
    <row r="18" spans="1:19" ht="16" x14ac:dyDescent="0.4">
      <c r="A18" s="4">
        <v>17</v>
      </c>
      <c r="B18" s="5" t="s">
        <v>44</v>
      </c>
      <c r="C18" s="5" t="s">
        <v>48</v>
      </c>
      <c r="D18" s="5" t="s">
        <v>21</v>
      </c>
      <c r="E18" s="6">
        <v>44070</v>
      </c>
      <c r="F18" s="7">
        <f t="shared" si="0"/>
        <v>44115</v>
      </c>
      <c r="G18" s="5">
        <v>10000</v>
      </c>
      <c r="H18" s="5">
        <v>45</v>
      </c>
      <c r="I18" s="5">
        <v>45</v>
      </c>
      <c r="J18" s="5">
        <v>6</v>
      </c>
      <c r="K18" s="5">
        <v>5800</v>
      </c>
      <c r="L18" s="5">
        <v>300</v>
      </c>
      <c r="M18" s="5">
        <v>2400</v>
      </c>
      <c r="N18" s="5">
        <v>0</v>
      </c>
      <c r="O18" s="5" t="s">
        <v>22</v>
      </c>
      <c r="P18" s="5">
        <v>0</v>
      </c>
      <c r="Q18" s="8">
        <v>0.15000000000000002</v>
      </c>
      <c r="R18" s="5">
        <f>Table1[[#This Row],[Actual Cost]]/(1+Table1[[#This Row],[Budget Overrun (%)]])</f>
        <v>8695.652173913044</v>
      </c>
      <c r="S18" s="10">
        <v>180</v>
      </c>
    </row>
    <row r="19" spans="1:19" ht="16" x14ac:dyDescent="0.4">
      <c r="A19" s="4">
        <v>18</v>
      </c>
      <c r="B19" s="5" t="s">
        <v>44</v>
      </c>
      <c r="C19" s="5" t="s">
        <v>49</v>
      </c>
      <c r="D19" s="5" t="s">
        <v>21</v>
      </c>
      <c r="E19" s="6">
        <v>44070</v>
      </c>
      <c r="F19" s="7">
        <f t="shared" si="0"/>
        <v>44115</v>
      </c>
      <c r="G19" s="5">
        <v>8000</v>
      </c>
      <c r="H19" s="5">
        <v>45</v>
      </c>
      <c r="I19" s="5">
        <v>53</v>
      </c>
      <c r="J19" s="5">
        <v>5</v>
      </c>
      <c r="K19" s="5">
        <v>5600</v>
      </c>
      <c r="L19" s="5">
        <v>250</v>
      </c>
      <c r="M19" s="5">
        <v>1040</v>
      </c>
      <c r="N19" s="5">
        <v>-8</v>
      </c>
      <c r="O19" s="5" t="s">
        <v>22</v>
      </c>
      <c r="P19" s="5">
        <v>0</v>
      </c>
      <c r="Q19" s="8">
        <v>0.13875000000000004</v>
      </c>
      <c r="R19" s="5">
        <f>Table1[[#This Row],[Actual Cost]]/(1+Table1[[#This Row],[Budget Overrun (%)]])</f>
        <v>7025.2469813391881</v>
      </c>
      <c r="S19" s="10">
        <v>180</v>
      </c>
    </row>
    <row r="20" spans="1:19" ht="16" x14ac:dyDescent="0.4">
      <c r="A20" s="4">
        <v>19</v>
      </c>
      <c r="B20" s="5" t="s">
        <v>50</v>
      </c>
      <c r="C20" s="5" t="s">
        <v>51</v>
      </c>
      <c r="D20" s="5" t="s">
        <v>21</v>
      </c>
      <c r="E20" s="6">
        <v>44175</v>
      </c>
      <c r="F20" s="7">
        <f t="shared" si="0"/>
        <v>44355</v>
      </c>
      <c r="G20" s="5">
        <v>249865</v>
      </c>
      <c r="H20" s="5">
        <v>180</v>
      </c>
      <c r="I20" s="5">
        <v>182</v>
      </c>
      <c r="J20" s="5">
        <v>134</v>
      </c>
      <c r="K20" s="5">
        <v>149919</v>
      </c>
      <c r="L20" s="5">
        <v>6700</v>
      </c>
      <c r="M20" s="5">
        <v>49973</v>
      </c>
      <c r="N20" s="5">
        <v>-2</v>
      </c>
      <c r="O20" s="5" t="s">
        <v>22</v>
      </c>
      <c r="P20" s="5">
        <v>0</v>
      </c>
      <c r="Q20" s="8">
        <v>0.17318552018089772</v>
      </c>
      <c r="R20" s="5">
        <f>Table1[[#This Row],[Actual Cost]]/(1+Table1[[#This Row],[Budget Overrun (%)]])</f>
        <v>212979.95560111621</v>
      </c>
      <c r="S20" s="10">
        <v>180</v>
      </c>
    </row>
    <row r="21" spans="1:19" ht="16" x14ac:dyDescent="0.4">
      <c r="A21" s="4">
        <v>20</v>
      </c>
      <c r="B21" s="5" t="s">
        <v>52</v>
      </c>
      <c r="C21" s="5" t="s">
        <v>53</v>
      </c>
      <c r="D21" s="5" t="s">
        <v>21</v>
      </c>
      <c r="E21" s="6">
        <v>44300</v>
      </c>
      <c r="F21" s="7">
        <f t="shared" si="0"/>
        <v>44420</v>
      </c>
      <c r="G21" s="5">
        <v>105609</v>
      </c>
      <c r="H21" s="5">
        <v>120</v>
      </c>
      <c r="I21" s="5">
        <v>125</v>
      </c>
      <c r="J21" s="5">
        <v>57</v>
      </c>
      <c r="K21" s="5">
        <v>55972.770000000004</v>
      </c>
      <c r="L21" s="5">
        <v>2850</v>
      </c>
      <c r="M21" s="5">
        <v>27458.34</v>
      </c>
      <c r="N21" s="5">
        <v>-5</v>
      </c>
      <c r="O21" s="5" t="s">
        <v>22</v>
      </c>
      <c r="P21" s="5">
        <v>0</v>
      </c>
      <c r="Q21" s="8">
        <v>0.18301366360821525</v>
      </c>
      <c r="R21" s="5">
        <f>Table1[[#This Row],[Actual Cost]]/(1+Table1[[#This Row],[Budget Overrun (%)]])</f>
        <v>89271.158270387547</v>
      </c>
      <c r="S21" s="10">
        <v>980</v>
      </c>
    </row>
    <row r="22" spans="1:19" ht="16" x14ac:dyDescent="0.4">
      <c r="A22" s="4">
        <v>21</v>
      </c>
      <c r="B22" s="5" t="s">
        <v>54</v>
      </c>
      <c r="C22" s="5" t="s">
        <v>55</v>
      </c>
      <c r="D22" s="5" t="s">
        <v>21</v>
      </c>
      <c r="E22" s="6">
        <v>44321</v>
      </c>
      <c r="F22" s="7">
        <f t="shared" si="0"/>
        <v>44411</v>
      </c>
      <c r="G22" s="5">
        <v>120000</v>
      </c>
      <c r="H22" s="5">
        <v>90</v>
      </c>
      <c r="I22" s="5">
        <v>91</v>
      </c>
      <c r="J22" s="5">
        <v>64</v>
      </c>
      <c r="K22" s="5">
        <v>81600</v>
      </c>
      <c r="L22" s="5">
        <v>3200</v>
      </c>
      <c r="M22" s="5">
        <v>13200</v>
      </c>
      <c r="N22" s="5">
        <v>-1</v>
      </c>
      <c r="O22" s="5" t="s">
        <v>22</v>
      </c>
      <c r="P22" s="5">
        <v>0</v>
      </c>
      <c r="Q22" s="8">
        <v>0.18333333333333335</v>
      </c>
      <c r="R22" s="5">
        <f>Table1[[#This Row],[Actual Cost]]/(1+Table1[[#This Row],[Budget Overrun (%)]])</f>
        <v>101408.45070422535</v>
      </c>
      <c r="S22" s="10">
        <v>1620</v>
      </c>
    </row>
    <row r="23" spans="1:19" ht="16" x14ac:dyDescent="0.4">
      <c r="A23" s="4">
        <v>22</v>
      </c>
      <c r="B23" s="5" t="s">
        <v>27</v>
      </c>
      <c r="C23" s="5" t="s">
        <v>56</v>
      </c>
      <c r="D23" s="5" t="s">
        <v>21</v>
      </c>
      <c r="E23" s="6">
        <v>44350</v>
      </c>
      <c r="F23" s="7">
        <f t="shared" si="0"/>
        <v>44405</v>
      </c>
      <c r="G23" s="5">
        <v>46485</v>
      </c>
      <c r="H23" s="5">
        <v>55</v>
      </c>
      <c r="I23" s="5">
        <v>65</v>
      </c>
      <c r="J23" s="5">
        <v>25</v>
      </c>
      <c r="K23" s="5">
        <v>27891</v>
      </c>
      <c r="L23" s="5">
        <v>1250</v>
      </c>
      <c r="M23" s="5">
        <v>9297</v>
      </c>
      <c r="N23" s="5">
        <v>-10</v>
      </c>
      <c r="O23" s="5" t="s">
        <v>22</v>
      </c>
      <c r="P23" s="5">
        <v>0</v>
      </c>
      <c r="Q23" s="8">
        <v>0.17310960524900509</v>
      </c>
      <c r="R23" s="5">
        <f>Table1[[#This Row],[Actual Cost]]/(1+Table1[[#This Row],[Budget Overrun (%)]])</f>
        <v>39625.453403506195</v>
      </c>
      <c r="S23" s="10">
        <v>860</v>
      </c>
    </row>
    <row r="24" spans="1:19" ht="16" x14ac:dyDescent="0.4">
      <c r="A24" s="4">
        <v>23</v>
      </c>
      <c r="B24" s="5" t="s">
        <v>54</v>
      </c>
      <c r="C24" s="5" t="s">
        <v>57</v>
      </c>
      <c r="D24" s="5" t="s">
        <v>21</v>
      </c>
      <c r="E24" s="6">
        <v>44392</v>
      </c>
      <c r="F24" s="7">
        <f t="shared" si="0"/>
        <v>44479</v>
      </c>
      <c r="G24" s="5">
        <v>36880</v>
      </c>
      <c r="H24" s="5">
        <v>87</v>
      </c>
      <c r="I24" s="5">
        <v>90</v>
      </c>
      <c r="J24" s="5">
        <v>20</v>
      </c>
      <c r="K24" s="5">
        <v>23972</v>
      </c>
      <c r="L24" s="5">
        <v>1000</v>
      </c>
      <c r="M24" s="5">
        <v>8113.6</v>
      </c>
      <c r="N24" s="5">
        <v>-3</v>
      </c>
      <c r="O24" s="5" t="s">
        <v>22</v>
      </c>
      <c r="P24" s="5">
        <v>83120</v>
      </c>
      <c r="Q24" s="8">
        <v>0.102885032537961</v>
      </c>
      <c r="R24" s="5">
        <f>Table1[[#This Row],[Actual Cost]]/(1+Table1[[#This Row],[Budget Overrun (%)]])</f>
        <v>33439.56886887084</v>
      </c>
      <c r="S24" s="10">
        <v>430</v>
      </c>
    </row>
    <row r="25" spans="1:19" ht="16" x14ac:dyDescent="0.4">
      <c r="A25" s="4">
        <v>24</v>
      </c>
      <c r="B25" s="5" t="s">
        <v>58</v>
      </c>
      <c r="C25" s="5" t="s">
        <v>59</v>
      </c>
      <c r="D25" s="5" t="s">
        <v>21</v>
      </c>
      <c r="E25" s="6">
        <v>44493</v>
      </c>
      <c r="F25" s="7">
        <f t="shared" si="0"/>
        <v>44613</v>
      </c>
      <c r="G25" s="5">
        <v>550000</v>
      </c>
      <c r="H25" s="5">
        <v>120</v>
      </c>
      <c r="I25" s="5">
        <v>120</v>
      </c>
      <c r="J25" s="5">
        <v>294</v>
      </c>
      <c r="K25" s="5">
        <v>346500</v>
      </c>
      <c r="L25" s="5">
        <v>14700</v>
      </c>
      <c r="M25" s="5">
        <v>115500</v>
      </c>
      <c r="N25" s="5">
        <v>0</v>
      </c>
      <c r="O25" s="5" t="s">
        <v>22</v>
      </c>
      <c r="P25" s="5">
        <v>0</v>
      </c>
      <c r="Q25" s="8">
        <v>0.13327272727272732</v>
      </c>
      <c r="R25" s="5">
        <f>Table1[[#This Row],[Actual Cost]]/(1+Table1[[#This Row],[Budget Overrun (%)]])</f>
        <v>485320.07059201028</v>
      </c>
      <c r="S25" s="10">
        <v>800</v>
      </c>
    </row>
    <row r="26" spans="1:19" ht="16" x14ac:dyDescent="0.4">
      <c r="A26" s="4">
        <v>25</v>
      </c>
      <c r="B26" s="5" t="s">
        <v>50</v>
      </c>
      <c r="C26" s="5" t="s">
        <v>60</v>
      </c>
      <c r="D26" s="5" t="s">
        <v>21</v>
      </c>
      <c r="E26" s="6">
        <v>44503</v>
      </c>
      <c r="F26" s="7">
        <f t="shared" si="0"/>
        <v>44653</v>
      </c>
      <c r="G26" s="5">
        <v>237526</v>
      </c>
      <c r="H26" s="5">
        <v>150</v>
      </c>
      <c r="I26" s="5">
        <v>151</v>
      </c>
      <c r="J26" s="5">
        <v>127</v>
      </c>
      <c r="K26" s="5">
        <v>142515.6</v>
      </c>
      <c r="L26" s="5">
        <v>6350</v>
      </c>
      <c r="M26" s="5">
        <v>47505.200000000004</v>
      </c>
      <c r="N26" s="5">
        <v>-1</v>
      </c>
      <c r="O26" s="5" t="s">
        <v>22</v>
      </c>
      <c r="P26" s="5">
        <v>0</v>
      </c>
      <c r="Q26" s="8">
        <v>0.17326608455495396</v>
      </c>
      <c r="R26" s="5">
        <f>Table1[[#This Row],[Actual Cost]]/(1+Table1[[#This Row],[Budget Overrun (%)]])</f>
        <v>202448.53501420259</v>
      </c>
      <c r="S26" s="10">
        <v>2400</v>
      </c>
    </row>
    <row r="27" spans="1:19" ht="16" x14ac:dyDescent="0.4">
      <c r="A27" s="4">
        <v>26</v>
      </c>
      <c r="B27" s="5" t="s">
        <v>61</v>
      </c>
      <c r="C27" s="5" t="s">
        <v>62</v>
      </c>
      <c r="D27" s="5" t="s">
        <v>21</v>
      </c>
      <c r="E27" s="6">
        <v>44523</v>
      </c>
      <c r="F27" s="7">
        <f t="shared" si="0"/>
        <v>44613</v>
      </c>
      <c r="G27" s="5">
        <v>100470</v>
      </c>
      <c r="H27" s="5">
        <v>90</v>
      </c>
      <c r="I27" s="5">
        <v>90</v>
      </c>
      <c r="J27" s="5">
        <v>54</v>
      </c>
      <c r="K27" s="5">
        <v>65305.5</v>
      </c>
      <c r="L27" s="5">
        <v>2700</v>
      </c>
      <c r="M27" s="5">
        <v>22103.4</v>
      </c>
      <c r="N27" s="5">
        <v>0</v>
      </c>
      <c r="O27" s="5" t="s">
        <v>22</v>
      </c>
      <c r="P27" s="5">
        <v>0</v>
      </c>
      <c r="Q27" s="8">
        <v>0.10312630636010756</v>
      </c>
      <c r="R27" s="5">
        <f>Table1[[#This Row],[Actual Cost]]/(1+Table1[[#This Row],[Budget Overrun (%)]])</f>
        <v>91077.512539350413</v>
      </c>
      <c r="S27" s="10">
        <v>2100</v>
      </c>
    </row>
    <row r="28" spans="1:19" ht="16" x14ac:dyDescent="0.4">
      <c r="A28" s="4">
        <v>27</v>
      </c>
      <c r="B28" s="5" t="s">
        <v>61</v>
      </c>
      <c r="C28" s="5" t="s">
        <v>63</v>
      </c>
      <c r="D28" s="5" t="s">
        <v>21</v>
      </c>
      <c r="E28" s="6">
        <v>44523</v>
      </c>
      <c r="F28" s="7">
        <f t="shared" si="0"/>
        <v>44606</v>
      </c>
      <c r="G28" s="5">
        <v>68935</v>
      </c>
      <c r="H28" s="5">
        <v>83</v>
      </c>
      <c r="I28" s="5">
        <v>91</v>
      </c>
      <c r="J28" s="5">
        <v>37</v>
      </c>
      <c r="K28" s="5">
        <v>43429.05</v>
      </c>
      <c r="L28" s="5">
        <v>1850</v>
      </c>
      <c r="M28" s="5">
        <v>14476.35</v>
      </c>
      <c r="N28" s="5">
        <v>-8</v>
      </c>
      <c r="O28" s="5" t="s">
        <v>22</v>
      </c>
      <c r="P28" s="5">
        <v>27595</v>
      </c>
      <c r="Q28" s="8">
        <v>0.13316312468267211</v>
      </c>
      <c r="R28" s="5">
        <f>Table1[[#This Row],[Actual Cost]]/(1+Table1[[#This Row],[Budget Overrun (%)]])</f>
        <v>60834.136320226949</v>
      </c>
      <c r="S28" s="10">
        <v>1000</v>
      </c>
    </row>
    <row r="29" spans="1:19" ht="16" x14ac:dyDescent="0.4">
      <c r="A29" s="4">
        <v>28</v>
      </c>
      <c r="B29" s="5" t="s">
        <v>64</v>
      </c>
      <c r="C29" s="5" t="s">
        <v>65</v>
      </c>
      <c r="D29" s="5" t="s">
        <v>21</v>
      </c>
      <c r="E29" s="6">
        <v>44775</v>
      </c>
      <c r="F29" s="7">
        <f t="shared" si="0"/>
        <v>44820</v>
      </c>
      <c r="G29" s="5">
        <v>23000</v>
      </c>
      <c r="H29" s="5">
        <v>45</v>
      </c>
      <c r="I29" s="5">
        <v>47</v>
      </c>
      <c r="J29" s="5">
        <v>13</v>
      </c>
      <c r="K29" s="5">
        <v>13800</v>
      </c>
      <c r="L29" s="5">
        <v>650</v>
      </c>
      <c r="M29" s="5">
        <v>4600</v>
      </c>
      <c r="N29" s="5">
        <v>-2</v>
      </c>
      <c r="O29" s="5" t="s">
        <v>22</v>
      </c>
      <c r="P29" s="5">
        <v>187567</v>
      </c>
      <c r="Q29" s="8">
        <v>0.17173913043478262</v>
      </c>
      <c r="R29" s="5">
        <f>Table1[[#This Row],[Actual Cost]]/(1+Table1[[#This Row],[Budget Overrun (%)]])</f>
        <v>19628.942486085343</v>
      </c>
      <c r="S29" s="10">
        <v>700</v>
      </c>
    </row>
    <row r="30" spans="1:19" ht="16" x14ac:dyDescent="0.4">
      <c r="A30" s="4">
        <v>29</v>
      </c>
      <c r="B30" s="5" t="s">
        <v>66</v>
      </c>
      <c r="C30" s="5" t="s">
        <v>67</v>
      </c>
      <c r="D30" s="5" t="s">
        <v>21</v>
      </c>
      <c r="E30" s="6">
        <v>44833</v>
      </c>
      <c r="F30" s="7">
        <f t="shared" si="0"/>
        <v>44953</v>
      </c>
      <c r="G30" s="5">
        <v>960000</v>
      </c>
      <c r="H30" s="5">
        <v>120</v>
      </c>
      <c r="I30" s="5">
        <v>125</v>
      </c>
      <c r="J30" s="5">
        <v>512</v>
      </c>
      <c r="K30" s="5">
        <v>624000</v>
      </c>
      <c r="L30" s="5">
        <v>25600</v>
      </c>
      <c r="M30" s="5">
        <v>211200</v>
      </c>
      <c r="N30" s="5">
        <v>-5</v>
      </c>
      <c r="O30" s="5" t="s">
        <v>22</v>
      </c>
      <c r="P30" s="5">
        <v>0</v>
      </c>
      <c r="Q30" s="8">
        <v>0.10333333333333339</v>
      </c>
      <c r="R30" s="5">
        <f>Table1[[#This Row],[Actual Cost]]/(1+Table1[[#This Row],[Budget Overrun (%)]])</f>
        <v>870090.63444108749</v>
      </c>
      <c r="S30" s="10">
        <v>17100</v>
      </c>
    </row>
    <row r="31" spans="1:19" ht="16" x14ac:dyDescent="0.4">
      <c r="A31" s="4">
        <v>30</v>
      </c>
      <c r="B31" s="5" t="s">
        <v>68</v>
      </c>
      <c r="C31" s="5" t="s">
        <v>69</v>
      </c>
      <c r="D31" s="5" t="s">
        <v>21</v>
      </c>
      <c r="E31" s="6">
        <v>44929</v>
      </c>
      <c r="F31" s="7">
        <f t="shared" si="0"/>
        <v>45054</v>
      </c>
      <c r="G31" s="5">
        <v>150120</v>
      </c>
      <c r="H31" s="5">
        <v>125</v>
      </c>
      <c r="I31" s="5">
        <v>126</v>
      </c>
      <c r="J31" s="5">
        <v>81</v>
      </c>
      <c r="K31" s="5">
        <v>94575.6</v>
      </c>
      <c r="L31" s="5">
        <v>4050</v>
      </c>
      <c r="M31" s="5">
        <v>31525.199999999997</v>
      </c>
      <c r="N31" s="5">
        <v>-1</v>
      </c>
      <c r="O31" s="5" t="s">
        <v>22</v>
      </c>
      <c r="P31" s="5">
        <v>0</v>
      </c>
      <c r="Q31" s="8">
        <v>0.13302158273381293</v>
      </c>
      <c r="R31" s="5">
        <f>Table1[[#This Row],[Actual Cost]]/(1+Table1[[#This Row],[Budget Overrun (%)]])</f>
        <v>132495.26954092321</v>
      </c>
      <c r="S31" s="10">
        <v>50000</v>
      </c>
    </row>
    <row r="32" spans="1:19" ht="16" x14ac:dyDescent="0.4">
      <c r="A32" s="4">
        <v>31</v>
      </c>
      <c r="B32" s="5" t="s">
        <v>70</v>
      </c>
      <c r="C32" s="5" t="s">
        <v>71</v>
      </c>
      <c r="D32" s="5" t="s">
        <v>21</v>
      </c>
      <c r="E32" s="6">
        <v>44993</v>
      </c>
      <c r="F32" s="7">
        <f t="shared" si="0"/>
        <v>45053</v>
      </c>
      <c r="G32" s="5">
        <v>24600</v>
      </c>
      <c r="H32" s="5">
        <v>60</v>
      </c>
      <c r="I32" s="5">
        <v>70</v>
      </c>
      <c r="J32" s="5">
        <v>14</v>
      </c>
      <c r="K32" s="5">
        <v>14760</v>
      </c>
      <c r="L32" s="5">
        <v>700</v>
      </c>
      <c r="M32" s="5">
        <v>4920</v>
      </c>
      <c r="N32" s="5">
        <v>-10</v>
      </c>
      <c r="O32" s="5" t="s">
        <v>22</v>
      </c>
      <c r="P32" s="5">
        <v>0</v>
      </c>
      <c r="Q32" s="8">
        <v>0.17154471544715444</v>
      </c>
      <c r="R32" s="5">
        <f>Table1[[#This Row],[Actual Cost]]/(1+Table1[[#This Row],[Budget Overrun (%)]])</f>
        <v>20997.918112421932</v>
      </c>
      <c r="S32" s="10">
        <v>620</v>
      </c>
    </row>
    <row r="33" spans="1:19" ht="16" x14ac:dyDescent="0.4">
      <c r="A33" s="4">
        <v>32</v>
      </c>
      <c r="B33" s="5" t="s">
        <v>72</v>
      </c>
      <c r="C33" s="5" t="s">
        <v>69</v>
      </c>
      <c r="D33" s="5" t="s">
        <v>21</v>
      </c>
      <c r="E33" s="6">
        <v>45142</v>
      </c>
      <c r="F33" s="7">
        <f t="shared" si="0"/>
        <v>45232</v>
      </c>
      <c r="G33" s="5">
        <v>88775</v>
      </c>
      <c r="H33" s="5">
        <v>90</v>
      </c>
      <c r="I33" s="5">
        <v>93</v>
      </c>
      <c r="J33" s="5">
        <v>48</v>
      </c>
      <c r="K33" s="5">
        <v>57703.75</v>
      </c>
      <c r="L33" s="5">
        <v>2400</v>
      </c>
      <c r="M33" s="5">
        <v>19530.5</v>
      </c>
      <c r="N33" s="5">
        <v>-3</v>
      </c>
      <c r="O33" s="5" t="s">
        <v>22</v>
      </c>
      <c r="P33" s="5">
        <v>0</v>
      </c>
      <c r="Q33" s="8">
        <v>0.1029653618698958</v>
      </c>
      <c r="R33" s="5">
        <f>Table1[[#This Row],[Actual Cost]]/(1+Table1[[#This Row],[Budget Overrun (%)]])</f>
        <v>80487.568394257309</v>
      </c>
      <c r="S33" s="10">
        <v>1100</v>
      </c>
    </row>
    <row r="34" spans="1:19" ht="16" x14ac:dyDescent="0.4">
      <c r="A34" s="4">
        <v>33</v>
      </c>
      <c r="B34" s="5" t="s">
        <v>73</v>
      </c>
      <c r="C34" s="5" t="s">
        <v>74</v>
      </c>
      <c r="D34" s="5" t="s">
        <v>21</v>
      </c>
      <c r="E34" s="12">
        <v>42867</v>
      </c>
      <c r="F34" s="7">
        <f t="shared" si="0"/>
        <v>42957</v>
      </c>
      <c r="G34" s="5">
        <v>45000</v>
      </c>
      <c r="H34" s="5">
        <v>90</v>
      </c>
      <c r="I34" s="5">
        <v>90</v>
      </c>
      <c r="J34" s="5">
        <v>24</v>
      </c>
      <c r="K34" s="5">
        <v>28350</v>
      </c>
      <c r="L34" s="5">
        <v>1200</v>
      </c>
      <c r="M34" s="5">
        <v>9450</v>
      </c>
      <c r="N34" s="5">
        <v>0</v>
      </c>
      <c r="O34" s="5" t="s">
        <v>22</v>
      </c>
      <c r="P34" s="5">
        <v>0</v>
      </c>
      <c r="Q34" s="8">
        <v>0.1333333333333333</v>
      </c>
      <c r="R34" s="5">
        <f>Table1[[#This Row],[Actual Cost]]/(1+Table1[[#This Row],[Budget Overrun (%)]])</f>
        <v>39705.882352941175</v>
      </c>
      <c r="S34" s="10">
        <v>730</v>
      </c>
    </row>
    <row r="35" spans="1:19" ht="16" x14ac:dyDescent="0.4">
      <c r="A35" s="4">
        <v>34</v>
      </c>
      <c r="B35" s="5" t="s">
        <v>75</v>
      </c>
      <c r="C35" s="5" t="s">
        <v>76</v>
      </c>
      <c r="D35" s="5" t="s">
        <v>21</v>
      </c>
      <c r="E35" s="12">
        <v>42895</v>
      </c>
      <c r="F35" s="7">
        <f t="shared" si="0"/>
        <v>42955</v>
      </c>
      <c r="G35" s="5">
        <v>90000</v>
      </c>
      <c r="H35" s="5">
        <v>60</v>
      </c>
      <c r="I35" s="5">
        <v>61</v>
      </c>
      <c r="J35" s="5">
        <v>48</v>
      </c>
      <c r="K35" s="5">
        <v>54000</v>
      </c>
      <c r="L35" s="5">
        <v>2400</v>
      </c>
      <c r="M35" s="5">
        <v>18000</v>
      </c>
      <c r="N35" s="5">
        <v>-1</v>
      </c>
      <c r="O35" s="5" t="s">
        <v>22</v>
      </c>
      <c r="P35" s="5">
        <v>0</v>
      </c>
      <c r="Q35" s="8">
        <v>0.17333333333333334</v>
      </c>
      <c r="R35" s="5">
        <f>Table1[[#This Row],[Actual Cost]]/(1+Table1[[#This Row],[Budget Overrun (%)]])</f>
        <v>76704.545454545456</v>
      </c>
      <c r="S35" s="10">
        <v>623</v>
      </c>
    </row>
    <row r="36" spans="1:19" ht="16" x14ac:dyDescent="0.4">
      <c r="A36" s="4">
        <v>35</v>
      </c>
      <c r="B36" s="5" t="s">
        <v>77</v>
      </c>
      <c r="C36" s="5" t="s">
        <v>78</v>
      </c>
      <c r="D36" s="5" t="s">
        <v>21</v>
      </c>
      <c r="E36" s="12">
        <v>42927</v>
      </c>
      <c r="F36" s="7">
        <f t="shared" si="0"/>
        <v>43012</v>
      </c>
      <c r="G36" s="5">
        <v>15000</v>
      </c>
      <c r="H36" s="5">
        <v>85</v>
      </c>
      <c r="I36" s="5">
        <v>85</v>
      </c>
      <c r="J36" s="5">
        <v>8</v>
      </c>
      <c r="K36" s="5">
        <v>9750</v>
      </c>
      <c r="L36" s="5">
        <v>400</v>
      </c>
      <c r="M36" s="5">
        <v>3300</v>
      </c>
      <c r="N36" s="5">
        <v>0</v>
      </c>
      <c r="O36" s="5" t="s">
        <v>22</v>
      </c>
      <c r="P36" s="5">
        <v>0</v>
      </c>
      <c r="Q36" s="8">
        <v>0.10333333333333339</v>
      </c>
      <c r="R36" s="5">
        <f>Table1[[#This Row],[Actual Cost]]/(1+Table1[[#This Row],[Budget Overrun (%)]])</f>
        <v>13595.166163141992</v>
      </c>
      <c r="S36" s="10">
        <v>1050</v>
      </c>
    </row>
    <row r="37" spans="1:19" ht="16" x14ac:dyDescent="0.4">
      <c r="A37" s="4">
        <v>36</v>
      </c>
      <c r="B37" s="5" t="s">
        <v>79</v>
      </c>
      <c r="C37" s="5" t="s">
        <v>80</v>
      </c>
      <c r="D37" s="5" t="s">
        <v>21</v>
      </c>
      <c r="E37" s="12">
        <v>42924</v>
      </c>
      <c r="F37" s="7">
        <f t="shared" si="0"/>
        <v>43044</v>
      </c>
      <c r="G37" s="5">
        <v>178000</v>
      </c>
      <c r="H37" s="5">
        <v>120</v>
      </c>
      <c r="I37" s="5">
        <v>128</v>
      </c>
      <c r="J37" s="5">
        <v>95</v>
      </c>
      <c r="K37" s="5">
        <v>112140</v>
      </c>
      <c r="L37" s="5">
        <v>4750</v>
      </c>
      <c r="M37" s="5">
        <v>37380</v>
      </c>
      <c r="N37" s="5">
        <v>-8</v>
      </c>
      <c r="O37" s="5" t="s">
        <v>22</v>
      </c>
      <c r="P37" s="5">
        <v>0</v>
      </c>
      <c r="Q37" s="8">
        <v>0.13331460674157303</v>
      </c>
      <c r="R37" s="5">
        <f>Table1[[#This Row],[Actual Cost]]/(1+Table1[[#This Row],[Budget Overrun (%)]])</f>
        <v>157061.41872800278</v>
      </c>
      <c r="S37" s="10">
        <v>1200</v>
      </c>
    </row>
    <row r="38" spans="1:19" ht="16" x14ac:dyDescent="0.4">
      <c r="A38" s="4">
        <v>37</v>
      </c>
      <c r="B38" s="5" t="s">
        <v>73</v>
      </c>
      <c r="C38" s="5" t="s">
        <v>81</v>
      </c>
      <c r="D38" s="5" t="s">
        <v>21</v>
      </c>
      <c r="E38" s="12">
        <v>42955</v>
      </c>
      <c r="F38" s="7">
        <f t="shared" si="0"/>
        <v>43015</v>
      </c>
      <c r="G38" s="5">
        <v>40000</v>
      </c>
      <c r="H38" s="5">
        <v>60</v>
      </c>
      <c r="I38" s="5">
        <v>62</v>
      </c>
      <c r="J38" s="5">
        <v>22</v>
      </c>
      <c r="K38" s="5">
        <v>24000</v>
      </c>
      <c r="L38" s="5">
        <v>1100</v>
      </c>
      <c r="M38" s="5">
        <v>8000</v>
      </c>
      <c r="N38" s="5">
        <v>-2</v>
      </c>
      <c r="O38" s="5" t="s">
        <v>22</v>
      </c>
      <c r="P38" s="5">
        <v>0</v>
      </c>
      <c r="Q38" s="8">
        <v>0.17249999999999999</v>
      </c>
      <c r="R38" s="5">
        <f>Table1[[#This Row],[Actual Cost]]/(1+Table1[[#This Row],[Budget Overrun (%)]])</f>
        <v>34115.13859275054</v>
      </c>
      <c r="S38" s="10">
        <v>384</v>
      </c>
    </row>
    <row r="39" spans="1:19" ht="16" x14ac:dyDescent="0.4">
      <c r="A39" s="4">
        <v>38</v>
      </c>
      <c r="B39" s="5" t="s">
        <v>82</v>
      </c>
      <c r="C39" s="5" t="s">
        <v>83</v>
      </c>
      <c r="D39" s="5" t="s">
        <v>21</v>
      </c>
      <c r="E39" s="12">
        <v>43328</v>
      </c>
      <c r="F39" s="7">
        <f t="shared" si="0"/>
        <v>43340</v>
      </c>
      <c r="G39" s="5">
        <v>250000</v>
      </c>
      <c r="H39" s="5">
        <v>12</v>
      </c>
      <c r="I39" s="5">
        <v>17</v>
      </c>
      <c r="J39" s="5">
        <v>134</v>
      </c>
      <c r="K39" s="5">
        <v>162500</v>
      </c>
      <c r="L39" s="5">
        <v>6700</v>
      </c>
      <c r="M39" s="5">
        <v>55000</v>
      </c>
      <c r="N39" s="5">
        <v>-5</v>
      </c>
      <c r="O39" s="5" t="s">
        <v>22</v>
      </c>
      <c r="P39" s="5">
        <v>0</v>
      </c>
      <c r="Q39" s="8">
        <v>0.10319999999999996</v>
      </c>
      <c r="R39" s="5">
        <f>Table1[[#This Row],[Actual Cost]]/(1+Table1[[#This Row],[Budget Overrun (%)]])</f>
        <v>226613.48803480784</v>
      </c>
      <c r="S39" s="10">
        <v>2430</v>
      </c>
    </row>
    <row r="40" spans="1:19" ht="16" x14ac:dyDescent="0.4">
      <c r="A40" s="4">
        <v>39</v>
      </c>
      <c r="B40" s="5" t="s">
        <v>84</v>
      </c>
      <c r="C40" s="5" t="s">
        <v>85</v>
      </c>
      <c r="D40" s="5" t="s">
        <v>21</v>
      </c>
      <c r="E40" s="12">
        <v>43282</v>
      </c>
      <c r="F40" s="7">
        <f t="shared" si="0"/>
        <v>43327</v>
      </c>
      <c r="G40" s="5">
        <v>53912</v>
      </c>
      <c r="H40" s="5">
        <v>45</v>
      </c>
      <c r="I40" s="5">
        <v>46</v>
      </c>
      <c r="J40" s="5">
        <v>29</v>
      </c>
      <c r="K40" s="5">
        <v>33964.559999999998</v>
      </c>
      <c r="L40" s="5">
        <v>1450</v>
      </c>
      <c r="M40" s="5">
        <v>11321.52</v>
      </c>
      <c r="N40" s="5">
        <v>-1</v>
      </c>
      <c r="O40" s="5" t="s">
        <v>22</v>
      </c>
      <c r="P40" s="5">
        <v>0</v>
      </c>
      <c r="Q40" s="8">
        <v>0.1331043181480932</v>
      </c>
      <c r="R40" s="5">
        <f>Table1[[#This Row],[Actual Cost]]/(1+Table1[[#This Row],[Budget Overrun (%)]])</f>
        <v>47579.026164256371</v>
      </c>
      <c r="S40" s="10">
        <v>2150</v>
      </c>
    </row>
    <row r="41" spans="1:19" ht="16" x14ac:dyDescent="0.4">
      <c r="A41" s="4">
        <v>40</v>
      </c>
      <c r="B41" s="5" t="s">
        <v>86</v>
      </c>
      <c r="C41" s="5" t="s">
        <v>87</v>
      </c>
      <c r="D41" s="5" t="s">
        <v>21</v>
      </c>
      <c r="E41" s="12">
        <v>43798</v>
      </c>
      <c r="F41" s="7">
        <f t="shared" si="0"/>
        <v>43978</v>
      </c>
      <c r="G41" s="5">
        <v>348550</v>
      </c>
      <c r="H41" s="5">
        <v>180</v>
      </c>
      <c r="I41" s="5">
        <v>190</v>
      </c>
      <c r="J41" s="5">
        <v>186</v>
      </c>
      <c r="K41" s="5">
        <v>209130</v>
      </c>
      <c r="L41" s="5">
        <v>9300</v>
      </c>
      <c r="M41" s="5">
        <v>69710</v>
      </c>
      <c r="N41" s="5">
        <v>-10</v>
      </c>
      <c r="O41" s="5" t="s">
        <v>22</v>
      </c>
      <c r="P41" s="5">
        <v>0</v>
      </c>
      <c r="Q41" s="8">
        <v>0.17331803184622008</v>
      </c>
      <c r="R41" s="5">
        <f>Table1[[#This Row],[Actual Cost]]/(1+Table1[[#This Row],[Budget Overrun (%)]])</f>
        <v>297063.53310837247</v>
      </c>
      <c r="S41" s="10">
        <v>1600</v>
      </c>
    </row>
    <row r="42" spans="1:19" ht="16" x14ac:dyDescent="0.4">
      <c r="A42" s="4">
        <v>41</v>
      </c>
      <c r="B42" s="5" t="s">
        <v>27</v>
      </c>
      <c r="C42" s="5" t="s">
        <v>88</v>
      </c>
      <c r="D42" s="5" t="s">
        <v>21</v>
      </c>
      <c r="E42" s="12">
        <v>43799</v>
      </c>
      <c r="F42" s="7">
        <f t="shared" si="0"/>
        <v>43889</v>
      </c>
      <c r="G42" s="5">
        <v>51000</v>
      </c>
      <c r="H42" s="5">
        <v>90</v>
      </c>
      <c r="I42" s="5">
        <v>93</v>
      </c>
      <c r="J42" s="5">
        <v>28</v>
      </c>
      <c r="K42" s="5">
        <v>33150</v>
      </c>
      <c r="L42" s="5">
        <v>1400</v>
      </c>
      <c r="M42" s="5">
        <v>11220</v>
      </c>
      <c r="N42" s="5">
        <v>-3</v>
      </c>
      <c r="O42" s="5" t="s">
        <v>22</v>
      </c>
      <c r="P42" s="5">
        <v>0</v>
      </c>
      <c r="Q42" s="8">
        <v>0.10254901960784313</v>
      </c>
      <c r="R42" s="5">
        <f>Table1[[#This Row],[Actual Cost]]/(1+Table1[[#This Row],[Budget Overrun (%)]])</f>
        <v>46256.446736617465</v>
      </c>
      <c r="S42" s="10">
        <v>840</v>
      </c>
    </row>
    <row r="43" spans="1:19" ht="16" x14ac:dyDescent="0.4">
      <c r="A43" s="4">
        <v>42</v>
      </c>
      <c r="B43" s="5" t="s">
        <v>89</v>
      </c>
      <c r="C43" s="5" t="s">
        <v>90</v>
      </c>
      <c r="D43" s="5" t="s">
        <v>21</v>
      </c>
      <c r="E43" s="12">
        <v>43805</v>
      </c>
      <c r="F43" s="7">
        <f t="shared" si="0"/>
        <v>43812</v>
      </c>
      <c r="G43" s="5">
        <v>74000</v>
      </c>
      <c r="H43" s="5">
        <v>7</v>
      </c>
      <c r="I43" s="5">
        <v>7</v>
      </c>
      <c r="J43" s="5">
        <v>40</v>
      </c>
      <c r="K43" s="5">
        <v>46620</v>
      </c>
      <c r="L43" s="5">
        <v>2000</v>
      </c>
      <c r="M43" s="5">
        <v>15540</v>
      </c>
      <c r="N43" s="5">
        <v>0</v>
      </c>
      <c r="O43" s="5" t="s">
        <v>22</v>
      </c>
      <c r="P43" s="5">
        <v>0</v>
      </c>
      <c r="Q43" s="8">
        <v>0.13297297297297295</v>
      </c>
      <c r="R43" s="5">
        <f>Table1[[#This Row],[Actual Cost]]/(1+Table1[[#This Row],[Budget Overrun (%)]])</f>
        <v>65314.885496183211</v>
      </c>
      <c r="S43" s="10">
        <v>870</v>
      </c>
    </row>
    <row r="44" spans="1:19" ht="16" x14ac:dyDescent="0.4">
      <c r="A44" s="4">
        <v>43</v>
      </c>
      <c r="B44" s="5" t="s">
        <v>91</v>
      </c>
      <c r="C44" s="5" t="s">
        <v>92</v>
      </c>
      <c r="D44" s="5" t="s">
        <v>21</v>
      </c>
      <c r="E44" s="12">
        <v>43806</v>
      </c>
      <c r="F44" s="7">
        <f t="shared" si="0"/>
        <v>43825</v>
      </c>
      <c r="G44" s="5">
        <v>222316</v>
      </c>
      <c r="H44" s="5">
        <v>19</v>
      </c>
      <c r="I44" s="5">
        <v>20</v>
      </c>
      <c r="J44" s="5">
        <v>119</v>
      </c>
      <c r="K44" s="5">
        <v>133389.6</v>
      </c>
      <c r="L44" s="5">
        <v>5950</v>
      </c>
      <c r="M44" s="5">
        <v>44463.200000000004</v>
      </c>
      <c r="N44" s="5">
        <v>-1</v>
      </c>
      <c r="O44" s="5" t="s">
        <v>22</v>
      </c>
      <c r="P44" s="5">
        <v>0</v>
      </c>
      <c r="Q44" s="8">
        <v>0.17323629428381215</v>
      </c>
      <c r="R44" s="5">
        <f>Table1[[#This Row],[Actual Cost]]/(1+Table1[[#This Row],[Budget Overrun (%)]])</f>
        <v>189489.53512873559</v>
      </c>
      <c r="S44" s="10">
        <v>6700</v>
      </c>
    </row>
    <row r="45" spans="1:19" ht="16" x14ac:dyDescent="0.4">
      <c r="A45" s="4">
        <v>44</v>
      </c>
      <c r="B45" s="5" t="s">
        <v>93</v>
      </c>
      <c r="C45" s="5" t="s">
        <v>94</v>
      </c>
      <c r="D45" s="5" t="s">
        <v>21</v>
      </c>
      <c r="E45" s="12">
        <v>43807</v>
      </c>
      <c r="F45" s="7">
        <f t="shared" si="0"/>
        <v>43809</v>
      </c>
      <c r="G45" s="5">
        <v>23500</v>
      </c>
      <c r="H45" s="5">
        <v>2</v>
      </c>
      <c r="I45" s="5">
        <v>2</v>
      </c>
      <c r="J45" s="5">
        <v>13</v>
      </c>
      <c r="K45" s="5">
        <v>15275</v>
      </c>
      <c r="L45" s="5">
        <v>650</v>
      </c>
      <c r="M45" s="5">
        <v>5170</v>
      </c>
      <c r="N45" s="5">
        <v>0</v>
      </c>
      <c r="O45" s="5" t="s">
        <v>22</v>
      </c>
      <c r="P45" s="5">
        <v>0</v>
      </c>
      <c r="Q45" s="8">
        <v>0.10234042553191491</v>
      </c>
      <c r="R45" s="5">
        <f>Table1[[#This Row],[Actual Cost]]/(1+Table1[[#This Row],[Budget Overrun (%)]])</f>
        <v>21318.278324647752</v>
      </c>
      <c r="S45" s="10">
        <v>0</v>
      </c>
    </row>
    <row r="46" spans="1:19" ht="16" x14ac:dyDescent="0.4">
      <c r="A46" s="4">
        <v>45</v>
      </c>
      <c r="B46" s="5" t="s">
        <v>95</v>
      </c>
      <c r="C46" s="5" t="s">
        <v>92</v>
      </c>
      <c r="D46" s="5" t="s">
        <v>21</v>
      </c>
      <c r="E46" s="12">
        <v>43808</v>
      </c>
      <c r="F46" s="7">
        <f t="shared" si="0"/>
        <v>43814</v>
      </c>
      <c r="G46" s="5">
        <v>64540</v>
      </c>
      <c r="H46" s="5">
        <v>6</v>
      </c>
      <c r="I46" s="5">
        <v>14</v>
      </c>
      <c r="J46" s="5">
        <v>35</v>
      </c>
      <c r="K46" s="5">
        <v>40660.199999999997</v>
      </c>
      <c r="L46" s="5">
        <v>1750</v>
      </c>
      <c r="M46" s="5">
        <v>13553.4</v>
      </c>
      <c r="N46" s="5">
        <v>-8</v>
      </c>
      <c r="O46" s="5" t="s">
        <v>22</v>
      </c>
      <c r="P46" s="5">
        <v>0</v>
      </c>
      <c r="Q46" s="8">
        <v>0.13288503253796102</v>
      </c>
      <c r="R46" s="5">
        <f>Table1[[#This Row],[Actual Cost]]/(1+Table1[[#This Row],[Budget Overrun (%)]])</f>
        <v>56969.593688967172</v>
      </c>
      <c r="S46" s="10">
        <v>670</v>
      </c>
    </row>
    <row r="47" spans="1:19" ht="16" x14ac:dyDescent="0.4">
      <c r="A47" s="4">
        <v>46</v>
      </c>
      <c r="B47" s="5" t="s">
        <v>96</v>
      </c>
      <c r="C47" s="5" t="s">
        <v>92</v>
      </c>
      <c r="D47" s="5" t="s">
        <v>21</v>
      </c>
      <c r="E47" s="12">
        <v>43687</v>
      </c>
      <c r="F47" s="7">
        <f t="shared" si="0"/>
        <v>43694</v>
      </c>
      <c r="G47" s="5">
        <v>74000</v>
      </c>
      <c r="H47" s="5">
        <v>7</v>
      </c>
      <c r="I47" s="5">
        <v>9</v>
      </c>
      <c r="J47" s="5">
        <v>40</v>
      </c>
      <c r="K47" s="5">
        <v>44400</v>
      </c>
      <c r="L47" s="5">
        <v>2000</v>
      </c>
      <c r="M47" s="5">
        <v>14800</v>
      </c>
      <c r="N47" s="5">
        <v>-2</v>
      </c>
      <c r="O47" s="5" t="s">
        <v>22</v>
      </c>
      <c r="P47" s="5">
        <v>0</v>
      </c>
      <c r="Q47" s="8">
        <v>0.17297297297297298</v>
      </c>
      <c r="R47" s="5">
        <f>Table1[[#This Row],[Actual Cost]]/(1+Table1[[#This Row],[Budget Overrun (%)]])</f>
        <v>63087.557603686633</v>
      </c>
      <c r="S47" s="10">
        <v>1050</v>
      </c>
    </row>
    <row r="48" spans="1:19" ht="16" x14ac:dyDescent="0.4">
      <c r="A48" s="4">
        <v>47</v>
      </c>
      <c r="B48" s="5" t="s">
        <v>97</v>
      </c>
      <c r="C48" s="5" t="s">
        <v>98</v>
      </c>
      <c r="D48" s="5" t="s">
        <v>21</v>
      </c>
      <c r="E48" s="12">
        <v>43719</v>
      </c>
      <c r="F48" s="7">
        <f t="shared" si="0"/>
        <v>43723</v>
      </c>
      <c r="G48" s="5">
        <v>47112</v>
      </c>
      <c r="H48" s="5">
        <v>4</v>
      </c>
      <c r="I48" s="5">
        <v>9</v>
      </c>
      <c r="J48" s="5">
        <v>26</v>
      </c>
      <c r="K48" s="5">
        <v>30622.799999999999</v>
      </c>
      <c r="L48" s="5">
        <v>1300</v>
      </c>
      <c r="M48" s="5">
        <v>10364.64</v>
      </c>
      <c r="N48" s="5">
        <v>-5</v>
      </c>
      <c r="O48" s="5" t="s">
        <v>22</v>
      </c>
      <c r="P48" s="5">
        <v>0</v>
      </c>
      <c r="Q48" s="8">
        <v>0.10240618101545251</v>
      </c>
      <c r="R48" s="5">
        <f>Table1[[#This Row],[Actual Cost]]/(1+Table1[[#This Row],[Budget Overrun (%)]])</f>
        <v>42735.609443521091</v>
      </c>
      <c r="S48" s="10">
        <v>860</v>
      </c>
    </row>
    <row r="49" spans="1:19" ht="16" x14ac:dyDescent="0.4">
      <c r="A49" s="4">
        <v>48</v>
      </c>
      <c r="B49" s="5" t="s">
        <v>99</v>
      </c>
      <c r="C49" s="5" t="s">
        <v>100</v>
      </c>
      <c r="D49" s="5" t="s">
        <v>21</v>
      </c>
      <c r="E49" s="12">
        <v>43536</v>
      </c>
      <c r="F49" s="7">
        <f t="shared" si="0"/>
        <v>43541</v>
      </c>
      <c r="G49" s="5">
        <v>59491</v>
      </c>
      <c r="H49" s="5">
        <v>5</v>
      </c>
      <c r="I49" s="5">
        <v>6</v>
      </c>
      <c r="J49" s="5">
        <v>32</v>
      </c>
      <c r="K49" s="5">
        <v>37479.33</v>
      </c>
      <c r="L49" s="5">
        <v>1600</v>
      </c>
      <c r="M49" s="5">
        <v>12493.109999999999</v>
      </c>
      <c r="N49" s="5">
        <v>-1</v>
      </c>
      <c r="O49" s="5" t="s">
        <v>22</v>
      </c>
      <c r="P49" s="5">
        <v>0</v>
      </c>
      <c r="Q49" s="8">
        <v>0.13310517557277568</v>
      </c>
      <c r="R49" s="5">
        <f>Table1[[#This Row],[Actual Cost]]/(1+Table1[[#This Row],[Budget Overrun (%)]])</f>
        <v>52502.628425404349</v>
      </c>
      <c r="S49" s="10">
        <v>1200</v>
      </c>
    </row>
    <row r="50" spans="1:19" ht="16" x14ac:dyDescent="0.4">
      <c r="A50" s="4">
        <v>49</v>
      </c>
      <c r="B50" s="5" t="s">
        <v>101</v>
      </c>
      <c r="C50" s="5" t="s">
        <v>100</v>
      </c>
      <c r="D50" s="5" t="s">
        <v>21</v>
      </c>
      <c r="E50" s="12">
        <v>43598</v>
      </c>
      <c r="F50" s="7">
        <f t="shared" si="0"/>
        <v>43599</v>
      </c>
      <c r="G50" s="5">
        <v>6000</v>
      </c>
      <c r="H50" s="5">
        <v>1</v>
      </c>
      <c r="I50" s="5">
        <v>11</v>
      </c>
      <c r="J50" s="5">
        <v>4</v>
      </c>
      <c r="K50" s="5">
        <v>3600</v>
      </c>
      <c r="L50" s="5">
        <v>200</v>
      </c>
      <c r="M50" s="5">
        <v>1200</v>
      </c>
      <c r="N50" s="5">
        <v>-10</v>
      </c>
      <c r="O50" s="5" t="s">
        <v>22</v>
      </c>
      <c r="P50" s="5">
        <v>0</v>
      </c>
      <c r="Q50" s="8">
        <v>0.16666666666666663</v>
      </c>
      <c r="R50" s="5">
        <f>Table1[[#This Row],[Actual Cost]]/(1+Table1[[#This Row],[Budget Overrun (%)]])</f>
        <v>5142.8571428571431</v>
      </c>
      <c r="S50" s="10">
        <v>654</v>
      </c>
    </row>
    <row r="51" spans="1:19" ht="16" x14ac:dyDescent="0.4">
      <c r="A51" s="4">
        <v>50</v>
      </c>
      <c r="B51" s="5" t="s">
        <v>102</v>
      </c>
      <c r="C51" s="5" t="s">
        <v>92</v>
      </c>
      <c r="D51" s="5" t="s">
        <v>21</v>
      </c>
      <c r="E51" s="12">
        <v>43510</v>
      </c>
      <c r="F51" s="7">
        <f t="shared" si="0"/>
        <v>43512</v>
      </c>
      <c r="G51" s="5">
        <v>23000</v>
      </c>
      <c r="H51" s="5">
        <v>2</v>
      </c>
      <c r="I51" s="5">
        <v>5</v>
      </c>
      <c r="J51" s="5">
        <v>13</v>
      </c>
      <c r="K51" s="5">
        <v>14950</v>
      </c>
      <c r="L51" s="5">
        <v>650</v>
      </c>
      <c r="M51" s="5">
        <v>5060</v>
      </c>
      <c r="N51" s="5">
        <v>-3</v>
      </c>
      <c r="O51" s="5" t="s">
        <v>22</v>
      </c>
      <c r="P51" s="5">
        <v>0</v>
      </c>
      <c r="Q51" s="8">
        <v>0.10173913043478255</v>
      </c>
      <c r="R51" s="5">
        <f>Table1[[#This Row],[Actual Cost]]/(1+Table1[[#This Row],[Budget Overrun (%)]])</f>
        <v>20876.085240726126</v>
      </c>
      <c r="S51" s="10">
        <v>0</v>
      </c>
    </row>
    <row r="52" spans="1:19" ht="16" x14ac:dyDescent="0.4">
      <c r="A52" s="4">
        <v>51</v>
      </c>
      <c r="B52" s="5" t="s">
        <v>103</v>
      </c>
      <c r="C52" s="5" t="s">
        <v>104</v>
      </c>
      <c r="D52" s="5" t="s">
        <v>21</v>
      </c>
      <c r="E52" s="12">
        <v>43814</v>
      </c>
      <c r="F52" s="7">
        <f t="shared" si="0"/>
        <v>43815</v>
      </c>
      <c r="G52" s="5">
        <v>4466</v>
      </c>
      <c r="H52" s="5">
        <v>1</v>
      </c>
      <c r="I52" s="5">
        <v>1</v>
      </c>
      <c r="J52" s="5">
        <v>3</v>
      </c>
      <c r="K52" s="5">
        <v>2813.58</v>
      </c>
      <c r="L52" s="5">
        <v>150</v>
      </c>
      <c r="M52" s="5">
        <v>937.86</v>
      </c>
      <c r="N52" s="5">
        <v>0</v>
      </c>
      <c r="O52" s="5" t="s">
        <v>22</v>
      </c>
      <c r="P52" s="5">
        <v>0</v>
      </c>
      <c r="Q52" s="8">
        <v>0.12641289744738016</v>
      </c>
      <c r="R52" s="5">
        <f>Table1[[#This Row],[Actual Cost]]/(1+Table1[[#This Row],[Budget Overrun (%)]])</f>
        <v>3964.7983524697052</v>
      </c>
      <c r="S52" s="10">
        <v>0</v>
      </c>
    </row>
    <row r="53" spans="1:19" ht="16" x14ac:dyDescent="0.4">
      <c r="A53" s="4">
        <v>52</v>
      </c>
      <c r="B53" s="5" t="s">
        <v>105</v>
      </c>
      <c r="C53" s="5" t="s">
        <v>100</v>
      </c>
      <c r="D53" s="5" t="s">
        <v>21</v>
      </c>
      <c r="E53" s="12">
        <v>43540</v>
      </c>
      <c r="F53" s="7">
        <f t="shared" si="0"/>
        <v>43541</v>
      </c>
      <c r="G53" s="5">
        <v>5500</v>
      </c>
      <c r="H53" s="5">
        <v>1</v>
      </c>
      <c r="I53" s="5">
        <v>2</v>
      </c>
      <c r="J53" s="5">
        <v>3</v>
      </c>
      <c r="K53" s="5">
        <v>3300</v>
      </c>
      <c r="L53" s="5">
        <v>150</v>
      </c>
      <c r="M53" s="5">
        <v>1100</v>
      </c>
      <c r="N53" s="5">
        <v>-1</v>
      </c>
      <c r="O53" s="5" t="s">
        <v>22</v>
      </c>
      <c r="P53" s="5">
        <v>0</v>
      </c>
      <c r="Q53" s="8">
        <v>0.17272727272727273</v>
      </c>
      <c r="R53" s="5">
        <f>Table1[[#This Row],[Actual Cost]]/(1+Table1[[#This Row],[Budget Overrun (%)]])</f>
        <v>4689.9224806201546</v>
      </c>
      <c r="S53" s="10">
        <v>896</v>
      </c>
    </row>
    <row r="54" spans="1:19" ht="16" x14ac:dyDescent="0.4">
      <c r="A54" s="4">
        <v>53</v>
      </c>
      <c r="B54" s="5" t="s">
        <v>106</v>
      </c>
      <c r="C54" s="5" t="s">
        <v>92</v>
      </c>
      <c r="D54" s="5" t="s">
        <v>21</v>
      </c>
      <c r="E54" s="12">
        <v>43482</v>
      </c>
      <c r="F54" s="7">
        <f t="shared" si="0"/>
        <v>43486</v>
      </c>
      <c r="G54" s="5">
        <v>40000</v>
      </c>
      <c r="H54" s="5">
        <v>4</v>
      </c>
      <c r="I54" s="5">
        <v>4</v>
      </c>
      <c r="J54" s="5">
        <v>22</v>
      </c>
      <c r="K54" s="5">
        <v>26000</v>
      </c>
      <c r="L54" s="5">
        <v>1100</v>
      </c>
      <c r="M54" s="5">
        <v>8800</v>
      </c>
      <c r="N54" s="5">
        <v>0</v>
      </c>
      <c r="O54" s="5" t="s">
        <v>22</v>
      </c>
      <c r="P54" s="5">
        <v>0</v>
      </c>
      <c r="Q54" s="8">
        <v>0.10250000000000004</v>
      </c>
      <c r="R54" s="5">
        <f>Table1[[#This Row],[Actual Cost]]/(1+Table1[[#This Row],[Budget Overrun (%)]])</f>
        <v>36281.179138321997</v>
      </c>
      <c r="S54" s="10">
        <v>700</v>
      </c>
    </row>
    <row r="55" spans="1:19" ht="16" x14ac:dyDescent="0.4">
      <c r="A55" s="4">
        <v>54</v>
      </c>
      <c r="B55" s="5" t="s">
        <v>107</v>
      </c>
      <c r="C55" s="5" t="s">
        <v>100</v>
      </c>
      <c r="D55" s="5" t="s">
        <v>21</v>
      </c>
      <c r="E55" s="12">
        <v>43817</v>
      </c>
      <c r="F55" s="7">
        <f t="shared" si="0"/>
        <v>43818</v>
      </c>
      <c r="G55" s="5">
        <v>11364</v>
      </c>
      <c r="H55" s="5">
        <v>1</v>
      </c>
      <c r="I55" s="5">
        <v>9</v>
      </c>
      <c r="J55" s="5">
        <v>7</v>
      </c>
      <c r="K55" s="5">
        <v>7159.32</v>
      </c>
      <c r="L55" s="5">
        <v>350</v>
      </c>
      <c r="M55" s="5">
        <v>2386.44</v>
      </c>
      <c r="N55" s="5">
        <v>-8</v>
      </c>
      <c r="O55" s="5" t="s">
        <v>22</v>
      </c>
      <c r="P55" s="5">
        <v>0</v>
      </c>
      <c r="Q55" s="8">
        <v>0.12920098556846182</v>
      </c>
      <c r="R55" s="5">
        <f>Table1[[#This Row],[Actual Cost]]/(1+Table1[[#This Row],[Budget Overrun (%)]])</f>
        <v>10063.753171698783</v>
      </c>
      <c r="S55" s="10">
        <v>210</v>
      </c>
    </row>
    <row r="56" spans="1:19" ht="16" x14ac:dyDescent="0.4">
      <c r="A56" s="4">
        <v>55</v>
      </c>
      <c r="B56" s="5" t="s">
        <v>108</v>
      </c>
      <c r="C56" s="5" t="s">
        <v>109</v>
      </c>
      <c r="D56" s="5" t="s">
        <v>21</v>
      </c>
      <c r="E56" s="12">
        <v>43570</v>
      </c>
      <c r="F56" s="7">
        <f t="shared" si="0"/>
        <v>43572</v>
      </c>
      <c r="G56" s="5">
        <v>17000</v>
      </c>
      <c r="H56" s="5">
        <v>2</v>
      </c>
      <c r="I56" s="5">
        <v>4</v>
      </c>
      <c r="J56" s="5">
        <v>10</v>
      </c>
      <c r="K56" s="5">
        <v>10200</v>
      </c>
      <c r="L56" s="5">
        <v>500</v>
      </c>
      <c r="M56" s="5">
        <v>3400</v>
      </c>
      <c r="N56" s="5">
        <v>-2</v>
      </c>
      <c r="O56" s="5" t="s">
        <v>22</v>
      </c>
      <c r="P56" s="5">
        <v>0</v>
      </c>
      <c r="Q56" s="8">
        <v>0.1705882352941176</v>
      </c>
      <c r="R56" s="5">
        <f>Table1[[#This Row],[Actual Cost]]/(1+Table1[[#This Row],[Budget Overrun (%)]])</f>
        <v>14522.613065326635</v>
      </c>
      <c r="S56" s="10">
        <v>0</v>
      </c>
    </row>
    <row r="57" spans="1:19" ht="16" x14ac:dyDescent="0.4">
      <c r="A57" s="4">
        <v>56</v>
      </c>
      <c r="B57" s="5" t="s">
        <v>110</v>
      </c>
      <c r="C57" s="5" t="s">
        <v>111</v>
      </c>
      <c r="D57" s="5" t="s">
        <v>21</v>
      </c>
      <c r="E57" s="12">
        <v>43819</v>
      </c>
      <c r="F57" s="7">
        <f t="shared" si="0"/>
        <v>43821</v>
      </c>
      <c r="G57" s="5">
        <v>17957</v>
      </c>
      <c r="H57" s="5">
        <v>2</v>
      </c>
      <c r="I57" s="5">
        <v>7</v>
      </c>
      <c r="J57" s="5">
        <v>10</v>
      </c>
      <c r="K57" s="5">
        <v>11672.050000000001</v>
      </c>
      <c r="L57" s="5">
        <v>500</v>
      </c>
      <c r="M57" s="5">
        <v>3950.54</v>
      </c>
      <c r="N57" s="5">
        <v>-5</v>
      </c>
      <c r="O57" s="5" t="s">
        <v>22</v>
      </c>
      <c r="P57" s="5">
        <v>0</v>
      </c>
      <c r="Q57" s="8">
        <v>0.10215570529598483</v>
      </c>
      <c r="R57" s="5">
        <f>Table1[[#This Row],[Actual Cost]]/(1+Table1[[#This Row],[Budget Overrun (%)]])</f>
        <v>16292.61629161338</v>
      </c>
      <c r="S57" s="10">
        <v>856</v>
      </c>
    </row>
    <row r="58" spans="1:19" ht="16" x14ac:dyDescent="0.4">
      <c r="A58" s="4">
        <v>57</v>
      </c>
      <c r="B58" s="5" t="s">
        <v>112</v>
      </c>
      <c r="C58" s="5" t="s">
        <v>113</v>
      </c>
      <c r="D58" s="5" t="s">
        <v>21</v>
      </c>
      <c r="E58" s="12">
        <v>43820</v>
      </c>
      <c r="F58" s="7">
        <f t="shared" si="0"/>
        <v>43823</v>
      </c>
      <c r="G58" s="5">
        <v>25720</v>
      </c>
      <c r="H58" s="5">
        <v>3</v>
      </c>
      <c r="I58" s="5">
        <v>4</v>
      </c>
      <c r="J58" s="5">
        <v>14</v>
      </c>
      <c r="K58" s="5">
        <v>16203.6</v>
      </c>
      <c r="L58" s="5">
        <v>700</v>
      </c>
      <c r="M58" s="5">
        <v>5401.2</v>
      </c>
      <c r="N58" s="5">
        <v>-1</v>
      </c>
      <c r="O58" s="5" t="s">
        <v>22</v>
      </c>
      <c r="P58" s="5">
        <v>0</v>
      </c>
      <c r="Q58" s="8">
        <v>0.13278382581648529</v>
      </c>
      <c r="R58" s="5">
        <f>Table1[[#This Row],[Actual Cost]]/(1+Table1[[#This Row],[Budget Overrun (%)]])</f>
        <v>22705.126444987505</v>
      </c>
      <c r="S58" s="10">
        <v>2100</v>
      </c>
    </row>
    <row r="59" spans="1:19" ht="16" x14ac:dyDescent="0.4">
      <c r="A59" s="4">
        <v>58</v>
      </c>
      <c r="B59" s="5" t="s">
        <v>114</v>
      </c>
      <c r="C59" s="5" t="s">
        <v>100</v>
      </c>
      <c r="D59" s="5" t="s">
        <v>21</v>
      </c>
      <c r="E59" s="12">
        <v>43821</v>
      </c>
      <c r="F59" s="7">
        <f t="shared" si="0"/>
        <v>43822</v>
      </c>
      <c r="G59" s="5">
        <v>7560</v>
      </c>
      <c r="H59" s="5">
        <v>1</v>
      </c>
      <c r="I59" s="5">
        <v>11</v>
      </c>
      <c r="J59" s="5">
        <v>5</v>
      </c>
      <c r="K59" s="5">
        <v>4536</v>
      </c>
      <c r="L59" s="5">
        <v>250</v>
      </c>
      <c r="M59" s="5">
        <v>1512</v>
      </c>
      <c r="N59" s="5">
        <v>-10</v>
      </c>
      <c r="O59" s="5" t="s">
        <v>22</v>
      </c>
      <c r="P59" s="5">
        <v>0</v>
      </c>
      <c r="Q59" s="8">
        <v>0.16693121693121693</v>
      </c>
      <c r="R59" s="5">
        <f>Table1[[#This Row],[Actual Cost]]/(1+Table1[[#This Row],[Budget Overrun (%)]])</f>
        <v>6478.5309453638629</v>
      </c>
      <c r="S59" s="10">
        <v>70</v>
      </c>
    </row>
    <row r="60" spans="1:19" ht="16" x14ac:dyDescent="0.4">
      <c r="A60" s="4">
        <v>59</v>
      </c>
      <c r="B60" s="5" t="s">
        <v>115</v>
      </c>
      <c r="C60" s="5" t="s">
        <v>116</v>
      </c>
      <c r="D60" s="5" t="s">
        <v>21</v>
      </c>
      <c r="E60" s="12">
        <v>43822</v>
      </c>
      <c r="F60" s="7">
        <f t="shared" si="0"/>
        <v>43823</v>
      </c>
      <c r="G60" s="5">
        <v>12000</v>
      </c>
      <c r="H60" s="5">
        <v>1</v>
      </c>
      <c r="I60" s="5">
        <v>4</v>
      </c>
      <c r="J60" s="5">
        <v>7</v>
      </c>
      <c r="K60" s="5">
        <v>7800</v>
      </c>
      <c r="L60" s="5">
        <v>350</v>
      </c>
      <c r="M60" s="5">
        <v>2640</v>
      </c>
      <c r="N60" s="5">
        <v>-3</v>
      </c>
      <c r="O60" s="5" t="s">
        <v>22</v>
      </c>
      <c r="P60" s="5">
        <v>0</v>
      </c>
      <c r="Q60" s="8">
        <v>0.10083333333333333</v>
      </c>
      <c r="R60" s="5">
        <f>Table1[[#This Row],[Actual Cost]]/(1+Table1[[#This Row],[Budget Overrun (%)]])</f>
        <v>10900.832702498108</v>
      </c>
      <c r="S60" s="10">
        <v>100</v>
      </c>
    </row>
    <row r="61" spans="1:19" ht="16" x14ac:dyDescent="0.4">
      <c r="A61" s="4">
        <v>60</v>
      </c>
      <c r="B61" s="5" t="s">
        <v>117</v>
      </c>
      <c r="C61" s="5" t="s">
        <v>118</v>
      </c>
      <c r="D61" s="5" t="s">
        <v>21</v>
      </c>
      <c r="E61" s="12">
        <v>43953</v>
      </c>
      <c r="F61" s="7">
        <f t="shared" si="0"/>
        <v>43983</v>
      </c>
      <c r="G61" s="5">
        <v>360000</v>
      </c>
      <c r="H61" s="5">
        <v>30</v>
      </c>
      <c r="I61" s="5">
        <v>30</v>
      </c>
      <c r="J61" s="5">
        <v>192</v>
      </c>
      <c r="K61" s="5">
        <v>226800</v>
      </c>
      <c r="L61" s="5">
        <v>9600</v>
      </c>
      <c r="M61" s="5">
        <v>75600</v>
      </c>
      <c r="N61" s="5">
        <v>0</v>
      </c>
      <c r="O61" s="5" t="s">
        <v>22</v>
      </c>
      <c r="P61" s="5">
        <v>9864</v>
      </c>
      <c r="Q61" s="8">
        <v>0.1333333333333333</v>
      </c>
      <c r="R61" s="5">
        <f>Table1[[#This Row],[Actual Cost]]/(1+Table1[[#This Row],[Budget Overrun (%)]])</f>
        <v>317647.0588235294</v>
      </c>
      <c r="S61" s="10">
        <v>0</v>
      </c>
    </row>
    <row r="62" spans="1:19" ht="16" x14ac:dyDescent="0.4">
      <c r="A62" s="4">
        <v>61</v>
      </c>
      <c r="B62" s="5" t="s">
        <v>117</v>
      </c>
      <c r="C62" s="5" t="s">
        <v>119</v>
      </c>
      <c r="D62" s="5" t="s">
        <v>21</v>
      </c>
      <c r="E62" s="12">
        <v>43842</v>
      </c>
      <c r="F62" s="7">
        <f t="shared" si="0"/>
        <v>43902</v>
      </c>
      <c r="G62" s="5">
        <v>720000</v>
      </c>
      <c r="H62" s="5">
        <v>60</v>
      </c>
      <c r="I62" s="5">
        <v>61</v>
      </c>
      <c r="J62" s="5">
        <v>384</v>
      </c>
      <c r="K62" s="5">
        <v>432000</v>
      </c>
      <c r="L62" s="5">
        <v>19200</v>
      </c>
      <c r="M62" s="5">
        <v>144000</v>
      </c>
      <c r="N62" s="5">
        <v>-1</v>
      </c>
      <c r="O62" s="5" t="s">
        <v>22</v>
      </c>
      <c r="P62" s="5">
        <v>0</v>
      </c>
      <c r="Q62" s="8">
        <v>0.17333333333333334</v>
      </c>
      <c r="R62" s="5">
        <f>Table1[[#This Row],[Actual Cost]]/(1+Table1[[#This Row],[Budget Overrun (%)]])</f>
        <v>613636.36363636365</v>
      </c>
      <c r="S62" s="10">
        <v>0</v>
      </c>
    </row>
    <row r="63" spans="1:19" ht="16" x14ac:dyDescent="0.4">
      <c r="A63" s="4">
        <v>62</v>
      </c>
      <c r="B63" s="5" t="s">
        <v>120</v>
      </c>
      <c r="C63" s="5" t="s">
        <v>121</v>
      </c>
      <c r="D63" s="5" t="s">
        <v>21</v>
      </c>
      <c r="E63" s="12">
        <v>43834</v>
      </c>
      <c r="F63" s="7">
        <f t="shared" si="0"/>
        <v>43845</v>
      </c>
      <c r="G63" s="5">
        <v>130000</v>
      </c>
      <c r="H63" s="5">
        <v>11</v>
      </c>
      <c r="I63" s="5">
        <v>11</v>
      </c>
      <c r="J63" s="5">
        <v>70</v>
      </c>
      <c r="K63" s="5">
        <v>84500</v>
      </c>
      <c r="L63" s="5">
        <v>3500</v>
      </c>
      <c r="M63" s="5">
        <v>28600</v>
      </c>
      <c r="N63" s="5">
        <v>0</v>
      </c>
      <c r="O63" s="5" t="s">
        <v>22</v>
      </c>
      <c r="P63" s="5">
        <v>-12205</v>
      </c>
      <c r="Q63" s="8">
        <v>0.10307692307692307</v>
      </c>
      <c r="R63" s="5">
        <f>Table1[[#This Row],[Actual Cost]]/(1+Table1[[#This Row],[Budget Overrun (%)]])</f>
        <v>117852.16178521617</v>
      </c>
      <c r="S63" s="10">
        <v>700</v>
      </c>
    </row>
    <row r="64" spans="1:19" ht="16" x14ac:dyDescent="0.4">
      <c r="A64" s="4">
        <v>63</v>
      </c>
      <c r="B64" s="5" t="s">
        <v>122</v>
      </c>
      <c r="C64" s="5" t="s">
        <v>123</v>
      </c>
      <c r="D64" s="5" t="s">
        <v>21</v>
      </c>
      <c r="E64" s="12">
        <v>43855</v>
      </c>
      <c r="F64" s="7">
        <f t="shared" si="0"/>
        <v>43879</v>
      </c>
      <c r="G64" s="5">
        <v>285935</v>
      </c>
      <c r="H64" s="5">
        <v>24</v>
      </c>
      <c r="I64" s="5">
        <v>32</v>
      </c>
      <c r="J64" s="5">
        <v>153</v>
      </c>
      <c r="K64" s="5">
        <v>180139.05</v>
      </c>
      <c r="L64" s="5">
        <v>7650</v>
      </c>
      <c r="M64" s="5">
        <v>60046.35</v>
      </c>
      <c r="N64" s="5">
        <v>-8</v>
      </c>
      <c r="O64" s="5" t="s">
        <v>22</v>
      </c>
      <c r="P64" s="5">
        <v>0</v>
      </c>
      <c r="Q64" s="8">
        <v>0.133245667721685</v>
      </c>
      <c r="R64" s="5">
        <f>Table1[[#This Row],[Actual Cost]]/(1+Table1[[#This Row],[Budget Overrun (%)]])</f>
        <v>252315.10531591377</v>
      </c>
      <c r="S64" s="10">
        <v>11000</v>
      </c>
    </row>
    <row r="65" spans="1:19" ht="16" x14ac:dyDescent="0.4">
      <c r="A65" s="4">
        <v>64</v>
      </c>
      <c r="B65" s="5" t="s">
        <v>124</v>
      </c>
      <c r="C65" s="5" t="s">
        <v>125</v>
      </c>
      <c r="D65" s="5" t="s">
        <v>21</v>
      </c>
      <c r="E65" s="12">
        <v>43876</v>
      </c>
      <c r="F65" s="7">
        <f t="shared" si="0"/>
        <v>43883</v>
      </c>
      <c r="G65" s="5">
        <v>80000</v>
      </c>
      <c r="H65" s="5">
        <v>7</v>
      </c>
      <c r="I65" s="5">
        <v>9</v>
      </c>
      <c r="J65" s="5">
        <v>43</v>
      </c>
      <c r="K65" s="5">
        <v>48000</v>
      </c>
      <c r="L65" s="5">
        <v>2150</v>
      </c>
      <c r="M65" s="5">
        <v>16000</v>
      </c>
      <c r="N65" s="5">
        <v>-2</v>
      </c>
      <c r="O65" s="5" t="s">
        <v>22</v>
      </c>
      <c r="P65" s="5">
        <v>0</v>
      </c>
      <c r="Q65" s="8">
        <v>0.17312499999999997</v>
      </c>
      <c r="R65" s="5">
        <f>Table1[[#This Row],[Actual Cost]]/(1+Table1[[#This Row],[Budget Overrun (%)]])</f>
        <v>68193.926478423018</v>
      </c>
      <c r="S65" s="10">
        <v>1230</v>
      </c>
    </row>
    <row r="66" spans="1:19" ht="16" x14ac:dyDescent="0.4">
      <c r="A66" s="4">
        <v>65</v>
      </c>
      <c r="B66" s="5" t="s">
        <v>126</v>
      </c>
      <c r="C66" s="5" t="s">
        <v>127</v>
      </c>
      <c r="D66" s="5" t="s">
        <v>21</v>
      </c>
      <c r="E66" s="12">
        <v>44245</v>
      </c>
      <c r="F66" s="7">
        <f t="shared" si="0"/>
        <v>44255</v>
      </c>
      <c r="G66" s="5">
        <v>113000</v>
      </c>
      <c r="H66" s="5">
        <v>10</v>
      </c>
      <c r="I66" s="5">
        <v>15</v>
      </c>
      <c r="J66" s="5">
        <v>61</v>
      </c>
      <c r="K66" s="5">
        <v>73450</v>
      </c>
      <c r="L66" s="5">
        <v>3050</v>
      </c>
      <c r="M66" s="5">
        <v>24860</v>
      </c>
      <c r="N66" s="5">
        <v>-5</v>
      </c>
      <c r="O66" s="5" t="s">
        <v>22</v>
      </c>
      <c r="P66" s="5">
        <v>0</v>
      </c>
      <c r="Q66" s="8">
        <v>0.1030088495575221</v>
      </c>
      <c r="R66" s="5">
        <f>Table1[[#This Row],[Actual Cost]]/(1+Table1[[#This Row],[Budget Overrun (%)]])</f>
        <v>102447.04749679076</v>
      </c>
      <c r="S66" s="10">
        <v>2100</v>
      </c>
    </row>
    <row r="67" spans="1:19" ht="16" x14ac:dyDescent="0.4">
      <c r="A67" s="4">
        <v>66</v>
      </c>
      <c r="B67" s="5" t="s">
        <v>128</v>
      </c>
      <c r="C67" s="5" t="s">
        <v>129</v>
      </c>
      <c r="D67" s="5" t="s">
        <v>21</v>
      </c>
      <c r="E67" s="12">
        <v>44249</v>
      </c>
      <c r="F67" s="7">
        <f t="shared" ref="F67:F106" si="1">E67+H67</f>
        <v>44256</v>
      </c>
      <c r="G67" s="5">
        <v>75213</v>
      </c>
      <c r="H67" s="5">
        <v>7</v>
      </c>
      <c r="I67" s="5">
        <v>8</v>
      </c>
      <c r="J67" s="5">
        <v>41</v>
      </c>
      <c r="K67" s="5">
        <v>47384.19</v>
      </c>
      <c r="L67" s="5">
        <v>2050</v>
      </c>
      <c r="M67" s="5">
        <v>15794.73</v>
      </c>
      <c r="N67" s="5">
        <v>-1</v>
      </c>
      <c r="O67" s="5" t="s">
        <v>22</v>
      </c>
      <c r="P67" s="5">
        <v>0</v>
      </c>
      <c r="Q67" s="8">
        <v>0.1327440734979326</v>
      </c>
      <c r="R67" s="5">
        <f>Table1[[#This Row],[Actual Cost]]/(1+Table1[[#This Row],[Budget Overrun (%)]])</f>
        <v>66398.934904811293</v>
      </c>
      <c r="S67" s="10">
        <v>935</v>
      </c>
    </row>
    <row r="68" spans="1:19" ht="16" x14ac:dyDescent="0.4">
      <c r="A68" s="4">
        <v>67</v>
      </c>
      <c r="B68" s="5" t="s">
        <v>130</v>
      </c>
      <c r="C68" s="5" t="s">
        <v>92</v>
      </c>
      <c r="D68" s="5" t="s">
        <v>21</v>
      </c>
      <c r="E68" s="12">
        <v>44282</v>
      </c>
      <c r="F68" s="7">
        <f t="shared" si="1"/>
        <v>44286</v>
      </c>
      <c r="G68" s="5">
        <v>45900</v>
      </c>
      <c r="H68" s="5">
        <v>4</v>
      </c>
      <c r="I68" s="5">
        <v>14</v>
      </c>
      <c r="J68" s="5">
        <v>25</v>
      </c>
      <c r="K68" s="5">
        <v>27540</v>
      </c>
      <c r="L68" s="5">
        <v>1250</v>
      </c>
      <c r="M68" s="5">
        <v>9180</v>
      </c>
      <c r="N68" s="5">
        <v>-10</v>
      </c>
      <c r="O68" s="5" t="s">
        <v>22</v>
      </c>
      <c r="P68" s="5">
        <v>0</v>
      </c>
      <c r="Q68" s="8">
        <v>0.17276688453159039</v>
      </c>
      <c r="R68" s="5">
        <f>Table1[[#This Row],[Actual Cost]]/(1+Table1[[#This Row],[Budget Overrun (%)]])</f>
        <v>39138.212892439158</v>
      </c>
      <c r="S68" s="10">
        <v>630</v>
      </c>
    </row>
    <row r="69" spans="1:19" ht="16" x14ac:dyDescent="0.4">
      <c r="A69" s="4">
        <v>68</v>
      </c>
      <c r="B69" s="5" t="s">
        <v>131</v>
      </c>
      <c r="C69" s="5" t="s">
        <v>132</v>
      </c>
      <c r="D69" s="5" t="s">
        <v>21</v>
      </c>
      <c r="E69" s="12">
        <v>44244</v>
      </c>
      <c r="F69" s="7">
        <f t="shared" si="1"/>
        <v>44247</v>
      </c>
      <c r="G69" s="5">
        <v>36000</v>
      </c>
      <c r="H69" s="5">
        <v>3</v>
      </c>
      <c r="I69" s="5">
        <v>6</v>
      </c>
      <c r="J69" s="5">
        <v>20</v>
      </c>
      <c r="K69" s="5">
        <v>23400</v>
      </c>
      <c r="L69" s="5">
        <v>1000</v>
      </c>
      <c r="M69" s="5">
        <v>7920</v>
      </c>
      <c r="N69" s="5">
        <v>-3</v>
      </c>
      <c r="O69" s="5" t="s">
        <v>22</v>
      </c>
      <c r="P69" s="5">
        <v>0</v>
      </c>
      <c r="Q69" s="8">
        <v>0.10222222222222221</v>
      </c>
      <c r="R69" s="5">
        <f>Table1[[#This Row],[Actual Cost]]/(1+Table1[[#This Row],[Budget Overrun (%)]])</f>
        <v>32661.290322580644</v>
      </c>
      <c r="S69" s="10">
        <v>0</v>
      </c>
    </row>
    <row r="70" spans="1:19" ht="16" x14ac:dyDescent="0.4">
      <c r="A70" s="4">
        <v>69</v>
      </c>
      <c r="B70" s="5" t="s">
        <v>133</v>
      </c>
      <c r="C70" s="5" t="s">
        <v>92</v>
      </c>
      <c r="D70" s="5" t="s">
        <v>21</v>
      </c>
      <c r="E70" s="12">
        <v>44327</v>
      </c>
      <c r="F70" s="7">
        <f t="shared" si="1"/>
        <v>44329</v>
      </c>
      <c r="G70" s="5">
        <v>23000</v>
      </c>
      <c r="H70" s="5">
        <v>2</v>
      </c>
      <c r="I70" s="5">
        <v>2</v>
      </c>
      <c r="J70" s="5">
        <v>13</v>
      </c>
      <c r="K70" s="5">
        <v>14490</v>
      </c>
      <c r="L70" s="5">
        <v>650</v>
      </c>
      <c r="M70" s="5">
        <v>4830</v>
      </c>
      <c r="N70" s="5">
        <v>0</v>
      </c>
      <c r="O70" s="5" t="s">
        <v>22</v>
      </c>
      <c r="P70" s="5">
        <v>0</v>
      </c>
      <c r="Q70" s="8">
        <v>0.13173913043478258</v>
      </c>
      <c r="R70" s="5">
        <f>Table1[[#This Row],[Actual Cost]]/(1+Table1[[#This Row],[Budget Overrun (%)]])</f>
        <v>20322.704571648097</v>
      </c>
      <c r="S70" s="10">
        <v>200</v>
      </c>
    </row>
    <row r="71" spans="1:19" ht="16" x14ac:dyDescent="0.4">
      <c r="A71" s="4">
        <v>70</v>
      </c>
      <c r="B71" s="5" t="s">
        <v>89</v>
      </c>
      <c r="C71" s="5" t="s">
        <v>134</v>
      </c>
      <c r="D71" s="5" t="s">
        <v>21</v>
      </c>
      <c r="E71" s="12">
        <v>44703</v>
      </c>
      <c r="F71" s="7">
        <f t="shared" si="1"/>
        <v>44705</v>
      </c>
      <c r="G71" s="5">
        <v>13000</v>
      </c>
      <c r="H71" s="5">
        <v>2</v>
      </c>
      <c r="I71" s="5">
        <v>3</v>
      </c>
      <c r="J71" s="5">
        <v>7</v>
      </c>
      <c r="K71" s="5">
        <v>7800</v>
      </c>
      <c r="L71" s="5">
        <v>350</v>
      </c>
      <c r="M71" s="5">
        <v>2600</v>
      </c>
      <c r="N71" s="5">
        <v>-1</v>
      </c>
      <c r="O71" s="5" t="s">
        <v>22</v>
      </c>
      <c r="P71" s="5">
        <v>0</v>
      </c>
      <c r="Q71" s="8">
        <v>0.17307692307692313</v>
      </c>
      <c r="R71" s="5">
        <f>Table1[[#This Row],[Actual Cost]]/(1+Table1[[#This Row],[Budget Overrun (%)]])</f>
        <v>11081.967213114754</v>
      </c>
      <c r="S71" s="10">
        <v>130</v>
      </c>
    </row>
    <row r="72" spans="1:19" ht="16" x14ac:dyDescent="0.4">
      <c r="A72" s="4">
        <v>71</v>
      </c>
      <c r="B72" s="5" t="s">
        <v>135</v>
      </c>
      <c r="C72" s="5" t="s">
        <v>136</v>
      </c>
      <c r="D72" s="5" t="s">
        <v>21</v>
      </c>
      <c r="E72" s="12">
        <v>44700</v>
      </c>
      <c r="F72" s="7">
        <f t="shared" si="1"/>
        <v>44703</v>
      </c>
      <c r="G72" s="5">
        <v>30715</v>
      </c>
      <c r="H72" s="5">
        <v>3</v>
      </c>
      <c r="I72" s="5">
        <v>3</v>
      </c>
      <c r="J72" s="5">
        <v>17</v>
      </c>
      <c r="K72" s="5">
        <v>19964.75</v>
      </c>
      <c r="L72" s="5">
        <v>850</v>
      </c>
      <c r="M72" s="5">
        <v>6757.3</v>
      </c>
      <c r="N72" s="5">
        <v>0</v>
      </c>
      <c r="O72" s="5" t="s">
        <v>22</v>
      </c>
      <c r="P72" s="5">
        <v>0</v>
      </c>
      <c r="Q72" s="8">
        <v>0.10232622497151234</v>
      </c>
      <c r="R72" s="5">
        <f>Table1[[#This Row],[Actual Cost]]/(1+Table1[[#This Row],[Budget Overrun (%)]])</f>
        <v>27863.802297540165</v>
      </c>
      <c r="S72" s="10">
        <v>0</v>
      </c>
    </row>
    <row r="73" spans="1:19" ht="16" x14ac:dyDescent="0.4">
      <c r="A73" s="4">
        <v>72</v>
      </c>
      <c r="B73" s="5" t="s">
        <v>137</v>
      </c>
      <c r="C73" s="5" t="s">
        <v>92</v>
      </c>
      <c r="D73" s="5" t="s">
        <v>21</v>
      </c>
      <c r="E73" s="12">
        <v>44710</v>
      </c>
      <c r="F73" s="7">
        <f t="shared" si="1"/>
        <v>44714</v>
      </c>
      <c r="G73" s="5">
        <v>44000</v>
      </c>
      <c r="H73" s="5">
        <v>4</v>
      </c>
      <c r="I73" s="5">
        <v>12</v>
      </c>
      <c r="J73" s="5">
        <v>24</v>
      </c>
      <c r="K73" s="5">
        <v>27720</v>
      </c>
      <c r="L73" s="5">
        <v>1200</v>
      </c>
      <c r="M73" s="5">
        <v>9240</v>
      </c>
      <c r="N73" s="5">
        <v>-8</v>
      </c>
      <c r="O73" s="5" t="s">
        <v>22</v>
      </c>
      <c r="P73" s="5">
        <v>12250</v>
      </c>
      <c r="Q73" s="8">
        <v>0.13272727272727269</v>
      </c>
      <c r="R73" s="5">
        <f>Table1[[#This Row],[Actual Cost]]/(1+Table1[[#This Row],[Budget Overrun (%)]])</f>
        <v>38844.301765650074</v>
      </c>
      <c r="S73" s="10">
        <v>850</v>
      </c>
    </row>
    <row r="74" spans="1:19" ht="16" x14ac:dyDescent="0.4">
      <c r="A74" s="4">
        <v>73</v>
      </c>
      <c r="B74" s="5" t="s">
        <v>138</v>
      </c>
      <c r="C74" s="5" t="s">
        <v>139</v>
      </c>
      <c r="D74" s="5" t="s">
        <v>21</v>
      </c>
      <c r="E74" s="12">
        <v>44715</v>
      </c>
      <c r="F74" s="7">
        <f t="shared" si="1"/>
        <v>44718</v>
      </c>
      <c r="G74" s="5">
        <v>27950</v>
      </c>
      <c r="H74" s="5">
        <v>3</v>
      </c>
      <c r="I74" s="5">
        <v>5</v>
      </c>
      <c r="J74" s="5">
        <v>15</v>
      </c>
      <c r="K74" s="5">
        <v>16770</v>
      </c>
      <c r="L74" s="5">
        <v>750</v>
      </c>
      <c r="M74" s="5">
        <v>5590</v>
      </c>
      <c r="N74" s="5">
        <v>-2</v>
      </c>
      <c r="O74" s="5" t="s">
        <v>22</v>
      </c>
      <c r="P74" s="5">
        <v>0</v>
      </c>
      <c r="Q74" s="8">
        <v>0.17316636851520573</v>
      </c>
      <c r="R74" s="5">
        <f>Table1[[#This Row],[Actual Cost]]/(1+Table1[[#This Row],[Budget Overrun (%)]])</f>
        <v>23824.412930771578</v>
      </c>
      <c r="S74" s="10">
        <v>0</v>
      </c>
    </row>
    <row r="75" spans="1:19" ht="16" x14ac:dyDescent="0.4">
      <c r="A75" s="4">
        <v>74</v>
      </c>
      <c r="B75" s="5" t="s">
        <v>75</v>
      </c>
      <c r="C75" s="5" t="s">
        <v>140</v>
      </c>
      <c r="D75" s="5" t="s">
        <v>21</v>
      </c>
      <c r="E75" s="12">
        <v>44744</v>
      </c>
      <c r="F75" s="7">
        <f t="shared" si="1"/>
        <v>44746</v>
      </c>
      <c r="G75" s="5">
        <v>17780</v>
      </c>
      <c r="H75" s="5">
        <v>2</v>
      </c>
      <c r="I75" s="5">
        <v>7</v>
      </c>
      <c r="J75" s="5">
        <v>10</v>
      </c>
      <c r="K75" s="5">
        <v>11557</v>
      </c>
      <c r="L75" s="5">
        <v>500</v>
      </c>
      <c r="M75" s="5">
        <v>3911.6</v>
      </c>
      <c r="N75" s="5">
        <v>-5</v>
      </c>
      <c r="O75" s="5" t="s">
        <v>22</v>
      </c>
      <c r="P75" s="5">
        <v>38718</v>
      </c>
      <c r="Q75" s="8">
        <v>0.10187851518560176</v>
      </c>
      <c r="R75" s="5">
        <f>Table1[[#This Row],[Actual Cost]]/(1+Table1[[#This Row],[Budget Overrun (%)]])</f>
        <v>16136.080116785935</v>
      </c>
      <c r="S75" s="10">
        <v>0</v>
      </c>
    </row>
    <row r="76" spans="1:19" ht="16" x14ac:dyDescent="0.4">
      <c r="A76" s="4">
        <v>75</v>
      </c>
      <c r="B76" s="5" t="s">
        <v>141</v>
      </c>
      <c r="C76" s="5" t="s">
        <v>92</v>
      </c>
      <c r="D76" s="5" t="s">
        <v>21</v>
      </c>
      <c r="E76" s="12">
        <v>44771</v>
      </c>
      <c r="F76" s="7">
        <f t="shared" si="1"/>
        <v>44775</v>
      </c>
      <c r="G76" s="5">
        <v>45000</v>
      </c>
      <c r="H76" s="5">
        <v>4</v>
      </c>
      <c r="I76" s="5">
        <v>5</v>
      </c>
      <c r="J76" s="5">
        <v>24</v>
      </c>
      <c r="K76" s="5">
        <v>28350</v>
      </c>
      <c r="L76" s="5">
        <v>1200</v>
      </c>
      <c r="M76" s="5">
        <v>9450</v>
      </c>
      <c r="N76" s="5">
        <v>-1</v>
      </c>
      <c r="O76" s="5" t="s">
        <v>22</v>
      </c>
      <c r="P76" s="5">
        <v>-5000</v>
      </c>
      <c r="Q76" s="8">
        <v>0.1333333333333333</v>
      </c>
      <c r="R76" s="5">
        <f>Table1[[#This Row],[Actual Cost]]/(1+Table1[[#This Row],[Budget Overrun (%)]])</f>
        <v>39705.882352941175</v>
      </c>
      <c r="S76" s="10">
        <v>700</v>
      </c>
    </row>
    <row r="77" spans="1:19" ht="16" x14ac:dyDescent="0.4">
      <c r="A77" s="4">
        <v>76</v>
      </c>
      <c r="B77" s="5" t="s">
        <v>142</v>
      </c>
      <c r="C77" s="5" t="s">
        <v>143</v>
      </c>
      <c r="D77" s="5" t="s">
        <v>21</v>
      </c>
      <c r="E77" s="12">
        <v>44745</v>
      </c>
      <c r="F77" s="7">
        <f t="shared" si="1"/>
        <v>44747</v>
      </c>
      <c r="G77" s="5">
        <v>16000</v>
      </c>
      <c r="H77" s="5">
        <v>2</v>
      </c>
      <c r="I77" s="5">
        <v>12</v>
      </c>
      <c r="J77" s="5">
        <v>9</v>
      </c>
      <c r="K77" s="5">
        <v>9600</v>
      </c>
      <c r="L77" s="5">
        <v>450</v>
      </c>
      <c r="M77" s="5">
        <v>3200</v>
      </c>
      <c r="N77" s="5">
        <v>-10</v>
      </c>
      <c r="O77" s="5" t="s">
        <v>22</v>
      </c>
      <c r="P77" s="5">
        <v>0</v>
      </c>
      <c r="Q77" s="8">
        <v>0.171875</v>
      </c>
      <c r="R77" s="5">
        <f>Table1[[#This Row],[Actual Cost]]/(1+Table1[[#This Row],[Budget Overrun (%)]])</f>
        <v>13653.333333333334</v>
      </c>
      <c r="S77" s="10">
        <v>200</v>
      </c>
    </row>
    <row r="78" spans="1:19" ht="16" x14ac:dyDescent="0.4">
      <c r="A78" s="4">
        <v>77</v>
      </c>
      <c r="B78" s="5" t="s">
        <v>144</v>
      </c>
      <c r="C78" s="5" t="s">
        <v>145</v>
      </c>
      <c r="D78" s="5" t="s">
        <v>21</v>
      </c>
      <c r="E78" s="12">
        <v>44748</v>
      </c>
      <c r="F78" s="7">
        <f t="shared" si="1"/>
        <v>44757</v>
      </c>
      <c r="G78" s="5">
        <v>100000</v>
      </c>
      <c r="H78" s="5">
        <v>9</v>
      </c>
      <c r="I78" s="5">
        <v>12</v>
      </c>
      <c r="J78" s="5">
        <v>54</v>
      </c>
      <c r="K78" s="5">
        <v>65000</v>
      </c>
      <c r="L78" s="5">
        <v>2700</v>
      </c>
      <c r="M78" s="5">
        <v>22000</v>
      </c>
      <c r="N78" s="5">
        <v>-3</v>
      </c>
      <c r="O78" s="5" t="s">
        <v>22</v>
      </c>
      <c r="P78" s="5">
        <v>9800</v>
      </c>
      <c r="Q78" s="8">
        <v>0.10299999999999998</v>
      </c>
      <c r="R78" s="5">
        <f>Table1[[#This Row],[Actual Cost]]/(1+Table1[[#This Row],[Budget Overrun (%)]])</f>
        <v>90661.831368993662</v>
      </c>
      <c r="S78" s="10">
        <v>1000</v>
      </c>
    </row>
    <row r="79" spans="1:19" ht="16" x14ac:dyDescent="0.4">
      <c r="A79" s="4">
        <v>78</v>
      </c>
      <c r="B79" s="5" t="s">
        <v>146</v>
      </c>
      <c r="C79" s="5" t="s">
        <v>71</v>
      </c>
      <c r="D79" s="5" t="s">
        <v>21</v>
      </c>
      <c r="E79" s="12">
        <v>44757</v>
      </c>
      <c r="F79" s="7">
        <f t="shared" si="1"/>
        <v>44762</v>
      </c>
      <c r="G79" s="5">
        <v>52000</v>
      </c>
      <c r="H79" s="5">
        <v>5</v>
      </c>
      <c r="I79" s="5">
        <v>5</v>
      </c>
      <c r="J79" s="5">
        <v>28</v>
      </c>
      <c r="K79" s="5">
        <v>32760</v>
      </c>
      <c r="L79" s="5">
        <v>1400</v>
      </c>
      <c r="M79" s="5">
        <v>10920</v>
      </c>
      <c r="N79" s="5">
        <v>0</v>
      </c>
      <c r="O79" s="5" t="s">
        <v>22</v>
      </c>
      <c r="P79" s="5">
        <v>0</v>
      </c>
      <c r="Q79" s="8">
        <v>0.13307692307692309</v>
      </c>
      <c r="R79" s="5">
        <f>Table1[[#This Row],[Actual Cost]]/(1+Table1[[#This Row],[Budget Overrun (%)]])</f>
        <v>45892.735913102508</v>
      </c>
      <c r="S79" s="10">
        <v>730</v>
      </c>
    </row>
    <row r="80" spans="1:19" ht="16" x14ac:dyDescent="0.4">
      <c r="A80" s="4">
        <v>79</v>
      </c>
      <c r="B80" s="5" t="s">
        <v>147</v>
      </c>
      <c r="C80" s="5" t="s">
        <v>71</v>
      </c>
      <c r="D80" s="5" t="s">
        <v>21</v>
      </c>
      <c r="E80" s="12">
        <v>44766</v>
      </c>
      <c r="F80" s="7">
        <f t="shared" si="1"/>
        <v>44769</v>
      </c>
      <c r="G80" s="5">
        <v>35700</v>
      </c>
      <c r="H80" s="5">
        <v>3</v>
      </c>
      <c r="I80" s="5">
        <v>4</v>
      </c>
      <c r="J80" s="5">
        <v>20</v>
      </c>
      <c r="K80" s="5">
        <v>21420</v>
      </c>
      <c r="L80" s="5">
        <v>1000</v>
      </c>
      <c r="M80" s="5">
        <v>7140</v>
      </c>
      <c r="N80" s="5">
        <v>-1</v>
      </c>
      <c r="O80" s="5" t="s">
        <v>22</v>
      </c>
      <c r="P80" s="5">
        <v>0</v>
      </c>
      <c r="Q80" s="8">
        <v>0.17198879551820734</v>
      </c>
      <c r="R80" s="5">
        <f>Table1[[#This Row],[Actual Cost]]/(1+Table1[[#This Row],[Budget Overrun (%)]])</f>
        <v>30461.042065009558</v>
      </c>
      <c r="S80" s="10">
        <v>300</v>
      </c>
    </row>
    <row r="81" spans="1:19" ht="16" x14ac:dyDescent="0.4">
      <c r="A81" s="4">
        <v>80</v>
      </c>
      <c r="B81" s="5" t="s">
        <v>148</v>
      </c>
      <c r="C81" s="5" t="s">
        <v>71</v>
      </c>
      <c r="D81" s="5" t="s">
        <v>21</v>
      </c>
      <c r="E81" s="12">
        <v>44750</v>
      </c>
      <c r="F81" s="7">
        <f t="shared" si="1"/>
        <v>44754</v>
      </c>
      <c r="G81" s="5">
        <v>40000</v>
      </c>
      <c r="H81" s="5">
        <v>4</v>
      </c>
      <c r="I81" s="5">
        <v>4</v>
      </c>
      <c r="J81" s="5">
        <v>22</v>
      </c>
      <c r="K81" s="5">
        <v>26000</v>
      </c>
      <c r="L81" s="5">
        <v>1100</v>
      </c>
      <c r="M81" s="5">
        <v>8800</v>
      </c>
      <c r="N81" s="5">
        <v>0</v>
      </c>
      <c r="O81" s="5" t="s">
        <v>22</v>
      </c>
      <c r="P81" s="5">
        <v>8000</v>
      </c>
      <c r="Q81" s="8">
        <v>0.10250000000000004</v>
      </c>
      <c r="R81" s="5">
        <f>Table1[[#This Row],[Actual Cost]]/(1+Table1[[#This Row],[Budget Overrun (%)]])</f>
        <v>36281.179138321997</v>
      </c>
      <c r="S81" s="10">
        <v>630</v>
      </c>
    </row>
    <row r="82" spans="1:19" ht="16" x14ac:dyDescent="0.4">
      <c r="A82" s="4">
        <v>81</v>
      </c>
      <c r="B82" s="5" t="s">
        <v>149</v>
      </c>
      <c r="C82" s="5" t="s">
        <v>71</v>
      </c>
      <c r="D82" s="5" t="s">
        <v>21</v>
      </c>
      <c r="E82" s="12">
        <v>44796</v>
      </c>
      <c r="F82" s="7">
        <f t="shared" si="1"/>
        <v>44803</v>
      </c>
      <c r="G82" s="5">
        <v>80500</v>
      </c>
      <c r="H82" s="5">
        <v>7</v>
      </c>
      <c r="I82" s="5">
        <v>15</v>
      </c>
      <c r="J82" s="5">
        <v>43</v>
      </c>
      <c r="K82" s="5">
        <v>50715</v>
      </c>
      <c r="L82" s="5">
        <v>2150</v>
      </c>
      <c r="M82" s="5">
        <v>16905</v>
      </c>
      <c r="N82" s="5">
        <v>-8</v>
      </c>
      <c r="O82" s="5" t="s">
        <v>22</v>
      </c>
      <c r="P82" s="5">
        <v>47000</v>
      </c>
      <c r="Q82" s="8">
        <v>0.13329192546583846</v>
      </c>
      <c r="R82" s="5">
        <f>Table1[[#This Row],[Actual Cost]]/(1+Table1[[#This Row],[Budget Overrun (%)]])</f>
        <v>71032.007015236217</v>
      </c>
      <c r="S82" s="10">
        <v>5320</v>
      </c>
    </row>
    <row r="83" spans="1:19" ht="16" x14ac:dyDescent="0.4">
      <c r="A83" s="4">
        <v>82</v>
      </c>
      <c r="B83" s="5" t="s">
        <v>150</v>
      </c>
      <c r="C83" s="5" t="s">
        <v>151</v>
      </c>
      <c r="D83" s="5" t="s">
        <v>21</v>
      </c>
      <c r="E83" s="12">
        <v>44786</v>
      </c>
      <c r="F83" s="7">
        <f t="shared" si="1"/>
        <v>44797</v>
      </c>
      <c r="G83" s="5">
        <v>126000</v>
      </c>
      <c r="H83" s="5">
        <v>11</v>
      </c>
      <c r="I83" s="5">
        <v>13</v>
      </c>
      <c r="J83" s="5">
        <v>68</v>
      </c>
      <c r="K83" s="5">
        <v>75600</v>
      </c>
      <c r="L83" s="5">
        <v>3400</v>
      </c>
      <c r="M83" s="5">
        <v>25200</v>
      </c>
      <c r="N83" s="5">
        <v>-2</v>
      </c>
      <c r="O83" s="5" t="s">
        <v>22</v>
      </c>
      <c r="P83" s="5">
        <v>0</v>
      </c>
      <c r="Q83" s="8">
        <v>0.17301587301587307</v>
      </c>
      <c r="R83" s="5">
        <f>Table1[[#This Row],[Actual Cost]]/(1+Table1[[#This Row],[Budget Overrun (%)]])</f>
        <v>107415.42625169148</v>
      </c>
      <c r="S83" s="10">
        <v>0</v>
      </c>
    </row>
    <row r="84" spans="1:19" ht="16" x14ac:dyDescent="0.4">
      <c r="A84" s="4">
        <v>83</v>
      </c>
      <c r="B84" s="5" t="s">
        <v>152</v>
      </c>
      <c r="C84" s="5" t="s">
        <v>153</v>
      </c>
      <c r="D84" s="5" t="s">
        <v>21</v>
      </c>
      <c r="E84" s="12">
        <v>44798</v>
      </c>
      <c r="F84" s="7">
        <f t="shared" si="1"/>
        <v>44802</v>
      </c>
      <c r="G84" s="5">
        <v>41000</v>
      </c>
      <c r="H84" s="5">
        <v>4</v>
      </c>
      <c r="I84" s="5">
        <v>9</v>
      </c>
      <c r="J84" s="5">
        <v>22</v>
      </c>
      <c r="K84" s="5">
        <v>26650</v>
      </c>
      <c r="L84" s="5">
        <v>1100</v>
      </c>
      <c r="M84" s="5">
        <v>9020</v>
      </c>
      <c r="N84" s="5">
        <v>-5</v>
      </c>
      <c r="O84" s="5" t="s">
        <v>22</v>
      </c>
      <c r="P84" s="5">
        <v>65975</v>
      </c>
      <c r="Q84" s="8">
        <v>0.10317073170731705</v>
      </c>
      <c r="R84" s="5">
        <f>Table1[[#This Row],[Actual Cost]]/(1+Table1[[#This Row],[Budget Overrun (%)]])</f>
        <v>37165.598054388684</v>
      </c>
      <c r="S84" s="10">
        <v>700</v>
      </c>
    </row>
    <row r="85" spans="1:19" ht="16" x14ac:dyDescent="0.4">
      <c r="A85" s="4">
        <v>84</v>
      </c>
      <c r="B85" s="5" t="s">
        <v>154</v>
      </c>
      <c r="C85" s="5" t="s">
        <v>145</v>
      </c>
      <c r="D85" s="5" t="s">
        <v>21</v>
      </c>
      <c r="E85" s="12">
        <v>44807</v>
      </c>
      <c r="F85" s="7">
        <f t="shared" si="1"/>
        <v>44824</v>
      </c>
      <c r="G85" s="5">
        <v>200000</v>
      </c>
      <c r="H85" s="5">
        <v>17</v>
      </c>
      <c r="I85" s="5">
        <v>18</v>
      </c>
      <c r="J85" s="5">
        <v>107</v>
      </c>
      <c r="K85" s="5">
        <v>130000</v>
      </c>
      <c r="L85" s="5">
        <v>5350</v>
      </c>
      <c r="M85" s="5">
        <v>42000</v>
      </c>
      <c r="N85" s="5">
        <v>-1</v>
      </c>
      <c r="O85" s="5" t="s">
        <v>22</v>
      </c>
      <c r="P85" s="5">
        <v>17250</v>
      </c>
      <c r="Q85" s="8">
        <v>0.11324999999999996</v>
      </c>
      <c r="R85" s="5">
        <f>Table1[[#This Row],[Actual Cost]]/(1+Table1[[#This Row],[Budget Overrun (%)]])</f>
        <v>179654.16573096791</v>
      </c>
      <c r="S85" s="10">
        <v>1560</v>
      </c>
    </row>
    <row r="86" spans="1:19" ht="16" x14ac:dyDescent="0.4">
      <c r="A86" s="4">
        <v>85</v>
      </c>
      <c r="B86" s="5" t="s">
        <v>155</v>
      </c>
      <c r="C86" s="5" t="s">
        <v>156</v>
      </c>
      <c r="D86" s="5" t="s">
        <v>21</v>
      </c>
      <c r="E86" s="12">
        <v>44809</v>
      </c>
      <c r="F86" s="7">
        <f t="shared" si="1"/>
        <v>44814</v>
      </c>
      <c r="G86" s="5">
        <v>58000</v>
      </c>
      <c r="H86" s="5">
        <v>5</v>
      </c>
      <c r="I86" s="5">
        <v>15</v>
      </c>
      <c r="J86" s="5">
        <v>31</v>
      </c>
      <c r="K86" s="5">
        <v>35960</v>
      </c>
      <c r="L86" s="5">
        <v>1550</v>
      </c>
      <c r="M86" s="5">
        <v>11600</v>
      </c>
      <c r="N86" s="5">
        <v>-10</v>
      </c>
      <c r="O86" s="5" t="s">
        <v>22</v>
      </c>
      <c r="P86" s="5">
        <v>0</v>
      </c>
      <c r="Q86" s="8">
        <v>0.15327586206896548</v>
      </c>
      <c r="R86" s="5">
        <f>Table1[[#This Row],[Actual Cost]]/(1+Table1[[#This Row],[Budget Overrun (%)]])</f>
        <v>50291.523396621327</v>
      </c>
      <c r="S86" s="10">
        <v>666</v>
      </c>
    </row>
    <row r="87" spans="1:19" ht="16" x14ac:dyDescent="0.4">
      <c r="A87" s="4">
        <v>86</v>
      </c>
      <c r="B87" s="5" t="s">
        <v>157</v>
      </c>
      <c r="C87" s="5" t="s">
        <v>158</v>
      </c>
      <c r="D87" s="5" t="s">
        <v>21</v>
      </c>
      <c r="E87" s="12">
        <v>44813</v>
      </c>
      <c r="F87" s="7">
        <f t="shared" si="1"/>
        <v>44822</v>
      </c>
      <c r="G87" s="5">
        <v>102000</v>
      </c>
      <c r="H87" s="5">
        <v>9</v>
      </c>
      <c r="I87" s="5">
        <v>12</v>
      </c>
      <c r="J87" s="5">
        <v>55</v>
      </c>
      <c r="K87" s="5">
        <v>68340</v>
      </c>
      <c r="L87" s="5">
        <v>2750</v>
      </c>
      <c r="M87" s="5">
        <v>22440</v>
      </c>
      <c r="N87" s="5">
        <v>-3</v>
      </c>
      <c r="O87" s="5" t="s">
        <v>22</v>
      </c>
      <c r="P87" s="5">
        <v>2961</v>
      </c>
      <c r="Q87" s="8">
        <v>8.3039215686274481E-2</v>
      </c>
      <c r="R87" s="5">
        <f>Table1[[#This Row],[Actual Cost]]/(1+Table1[[#This Row],[Budget Overrun (%)]])</f>
        <v>94179.415225853169</v>
      </c>
      <c r="S87" s="10">
        <v>1030</v>
      </c>
    </row>
    <row r="88" spans="1:19" ht="16" x14ac:dyDescent="0.4">
      <c r="A88" s="4">
        <v>87</v>
      </c>
      <c r="B88" s="5" t="s">
        <v>159</v>
      </c>
      <c r="C88" s="5" t="s">
        <v>71</v>
      </c>
      <c r="D88" s="5" t="s">
        <v>21</v>
      </c>
      <c r="E88" s="12">
        <v>44816</v>
      </c>
      <c r="F88" s="7">
        <f t="shared" si="1"/>
        <v>44823</v>
      </c>
      <c r="G88" s="5">
        <v>77000</v>
      </c>
      <c r="H88" s="5">
        <v>7</v>
      </c>
      <c r="I88" s="5">
        <v>7</v>
      </c>
      <c r="J88" s="5">
        <v>42</v>
      </c>
      <c r="K88" s="5">
        <v>46970</v>
      </c>
      <c r="L88" s="5">
        <v>2100</v>
      </c>
      <c r="M88" s="5">
        <v>16170</v>
      </c>
      <c r="N88" s="5">
        <v>0</v>
      </c>
      <c r="O88" s="5" t="s">
        <v>22</v>
      </c>
      <c r="P88" s="5">
        <v>0</v>
      </c>
      <c r="Q88" s="8">
        <v>0.15272727272727271</v>
      </c>
      <c r="R88" s="5">
        <f>Table1[[#This Row],[Actual Cost]]/(1+Table1[[#This Row],[Budget Overrun (%)]])</f>
        <v>66798.107255520503</v>
      </c>
      <c r="S88" s="10">
        <v>850</v>
      </c>
    </row>
    <row r="89" spans="1:19" ht="16" x14ac:dyDescent="0.4">
      <c r="A89" s="4">
        <v>88</v>
      </c>
      <c r="B89" s="5" t="s">
        <v>147</v>
      </c>
      <c r="C89" s="5" t="s">
        <v>71</v>
      </c>
      <c r="D89" s="5" t="s">
        <v>21</v>
      </c>
      <c r="E89" s="12">
        <v>44864</v>
      </c>
      <c r="F89" s="7">
        <f t="shared" si="1"/>
        <v>44866</v>
      </c>
      <c r="G89" s="5">
        <v>20000</v>
      </c>
      <c r="H89" s="5">
        <v>2</v>
      </c>
      <c r="I89" s="5">
        <v>3</v>
      </c>
      <c r="J89" s="5">
        <v>11</v>
      </c>
      <c r="K89" s="5">
        <v>12400</v>
      </c>
      <c r="L89" s="5">
        <v>550</v>
      </c>
      <c r="M89" s="5">
        <v>4000</v>
      </c>
      <c r="N89" s="5">
        <v>-1</v>
      </c>
      <c r="O89" s="5" t="s">
        <v>22</v>
      </c>
      <c r="P89" s="5">
        <v>0</v>
      </c>
      <c r="Q89" s="8">
        <v>0.15249999999999997</v>
      </c>
      <c r="R89" s="5">
        <f>Table1[[#This Row],[Actual Cost]]/(1+Table1[[#This Row],[Budget Overrun (%)]])</f>
        <v>17353.579175704992</v>
      </c>
      <c r="S89" s="10">
        <v>302</v>
      </c>
    </row>
    <row r="90" spans="1:19" ht="16" x14ac:dyDescent="0.4">
      <c r="A90" s="4">
        <v>89</v>
      </c>
      <c r="B90" s="5" t="s">
        <v>160</v>
      </c>
      <c r="C90" s="5" t="s">
        <v>161</v>
      </c>
      <c r="D90" s="5" t="s">
        <v>21</v>
      </c>
      <c r="E90" s="12">
        <v>44849</v>
      </c>
      <c r="F90" s="7">
        <f t="shared" si="1"/>
        <v>44851</v>
      </c>
      <c r="G90" s="5">
        <v>12200</v>
      </c>
      <c r="H90" s="5">
        <v>2</v>
      </c>
      <c r="I90" s="5">
        <v>2</v>
      </c>
      <c r="J90" s="5">
        <v>7</v>
      </c>
      <c r="K90" s="5">
        <v>6832.0000000000009</v>
      </c>
      <c r="L90" s="5">
        <v>350</v>
      </c>
      <c r="M90" s="5">
        <v>2684</v>
      </c>
      <c r="N90" s="5">
        <v>0</v>
      </c>
      <c r="O90" s="5" t="s">
        <v>22</v>
      </c>
      <c r="P90" s="5">
        <v>0</v>
      </c>
      <c r="Q90" s="8">
        <v>0.19131147540983606</v>
      </c>
      <c r="R90" s="5">
        <f>Table1[[#This Row],[Actual Cost]]/(1+Table1[[#This Row],[Budget Overrun (%)]])</f>
        <v>10240.814641530204</v>
      </c>
      <c r="S90" s="10">
        <v>250</v>
      </c>
    </row>
    <row r="91" spans="1:19" ht="16" x14ac:dyDescent="0.4">
      <c r="A91" s="4">
        <v>90</v>
      </c>
      <c r="B91" s="5" t="s">
        <v>162</v>
      </c>
      <c r="C91" s="5" t="s">
        <v>163</v>
      </c>
      <c r="D91" s="5" t="s">
        <v>21</v>
      </c>
      <c r="E91" s="12">
        <v>44852</v>
      </c>
      <c r="F91" s="7">
        <f t="shared" si="1"/>
        <v>44855</v>
      </c>
      <c r="G91" s="5">
        <v>33000</v>
      </c>
      <c r="H91" s="5">
        <v>3</v>
      </c>
      <c r="I91" s="5">
        <v>11</v>
      </c>
      <c r="J91" s="5">
        <v>18</v>
      </c>
      <c r="K91" s="5">
        <v>20790</v>
      </c>
      <c r="L91" s="5">
        <v>900</v>
      </c>
      <c r="M91" s="5">
        <v>6930</v>
      </c>
      <c r="N91" s="5">
        <v>-8</v>
      </c>
      <c r="O91" s="5" t="s">
        <v>22</v>
      </c>
      <c r="P91" s="5">
        <v>0</v>
      </c>
      <c r="Q91" s="8">
        <v>0.13272727272727269</v>
      </c>
      <c r="R91" s="5">
        <f>Table1[[#This Row],[Actual Cost]]/(1+Table1[[#This Row],[Budget Overrun (%)]])</f>
        <v>29133.226324237559</v>
      </c>
      <c r="S91" s="10">
        <v>300</v>
      </c>
    </row>
    <row r="92" spans="1:19" ht="16" x14ac:dyDescent="0.4">
      <c r="A92" s="4">
        <v>91</v>
      </c>
      <c r="B92" s="5" t="s">
        <v>164</v>
      </c>
      <c r="C92" s="5" t="s">
        <v>71</v>
      </c>
      <c r="D92" s="5" t="s">
        <v>21</v>
      </c>
      <c r="E92" s="12">
        <v>44839</v>
      </c>
      <c r="F92" s="7">
        <f t="shared" si="1"/>
        <v>44845</v>
      </c>
      <c r="G92" s="5">
        <v>72000</v>
      </c>
      <c r="H92" s="5">
        <v>6</v>
      </c>
      <c r="I92" s="5">
        <v>8</v>
      </c>
      <c r="J92" s="5">
        <v>39</v>
      </c>
      <c r="K92" s="5">
        <v>46800</v>
      </c>
      <c r="L92" s="5">
        <v>1950</v>
      </c>
      <c r="M92" s="5">
        <v>14400</v>
      </c>
      <c r="N92" s="5">
        <v>-2</v>
      </c>
      <c r="O92" s="5" t="s">
        <v>22</v>
      </c>
      <c r="P92" s="5">
        <v>0</v>
      </c>
      <c r="Q92" s="8">
        <v>0.12291666666666667</v>
      </c>
      <c r="R92" s="5">
        <f>Table1[[#This Row],[Actual Cost]]/(1+Table1[[#This Row],[Budget Overrun (%)]])</f>
        <v>64118.738404452684</v>
      </c>
      <c r="S92" s="10">
        <v>850</v>
      </c>
    </row>
    <row r="93" spans="1:19" ht="16" x14ac:dyDescent="0.4">
      <c r="A93" s="4">
        <v>92</v>
      </c>
      <c r="B93" s="5" t="s">
        <v>165</v>
      </c>
      <c r="C93" s="5" t="s">
        <v>166</v>
      </c>
      <c r="D93" s="5" t="s">
        <v>21</v>
      </c>
      <c r="E93" s="12">
        <v>44850</v>
      </c>
      <c r="F93" s="7">
        <f t="shared" si="1"/>
        <v>44855</v>
      </c>
      <c r="G93" s="5">
        <v>52000</v>
      </c>
      <c r="H93" s="5">
        <v>5</v>
      </c>
      <c r="I93" s="5">
        <v>10</v>
      </c>
      <c r="J93" s="5">
        <v>28</v>
      </c>
      <c r="K93" s="5">
        <v>28600.000000000004</v>
      </c>
      <c r="L93" s="5">
        <v>1400</v>
      </c>
      <c r="M93" s="5">
        <v>11440</v>
      </c>
      <c r="N93" s="5">
        <v>-5</v>
      </c>
      <c r="O93" s="5" t="s">
        <v>22</v>
      </c>
      <c r="P93" s="5">
        <v>0</v>
      </c>
      <c r="Q93" s="8">
        <v>0.20307692307692304</v>
      </c>
      <c r="R93" s="5">
        <f>Table1[[#This Row],[Actual Cost]]/(1+Table1[[#This Row],[Budget Overrun (%)]])</f>
        <v>43222.506393861891</v>
      </c>
      <c r="S93" s="10">
        <v>320</v>
      </c>
    </row>
    <row r="94" spans="1:19" ht="16" x14ac:dyDescent="0.4">
      <c r="A94" s="4">
        <v>93</v>
      </c>
      <c r="B94" s="5" t="s">
        <v>167</v>
      </c>
      <c r="C94" s="5" t="s">
        <v>100</v>
      </c>
      <c r="D94" s="5" t="s">
        <v>21</v>
      </c>
      <c r="E94" s="12">
        <v>44857</v>
      </c>
      <c r="F94" s="7">
        <f t="shared" si="1"/>
        <v>44858</v>
      </c>
      <c r="G94" s="5">
        <v>11800</v>
      </c>
      <c r="H94" s="5">
        <v>1</v>
      </c>
      <c r="I94" s="5">
        <v>2</v>
      </c>
      <c r="J94" s="5">
        <v>7</v>
      </c>
      <c r="K94" s="5">
        <v>6962</v>
      </c>
      <c r="L94" s="5">
        <v>350</v>
      </c>
      <c r="M94" s="5">
        <v>2478</v>
      </c>
      <c r="N94" s="5">
        <v>-1</v>
      </c>
      <c r="O94" s="5" t="s">
        <v>22</v>
      </c>
      <c r="P94" s="5">
        <v>0</v>
      </c>
      <c r="Q94" s="8">
        <v>0.17033898305084749</v>
      </c>
      <c r="R94" s="5">
        <f>Table1[[#This Row],[Actual Cost]]/(1+Table1[[#This Row],[Budget Overrun (%)]])</f>
        <v>10082.548877624909</v>
      </c>
      <c r="S94" s="10">
        <v>180</v>
      </c>
    </row>
    <row r="95" spans="1:19" ht="16" x14ac:dyDescent="0.4">
      <c r="A95" s="4">
        <v>94</v>
      </c>
      <c r="B95" s="5" t="s">
        <v>168</v>
      </c>
      <c r="C95" s="5" t="s">
        <v>169</v>
      </c>
      <c r="D95" s="5" t="s">
        <v>21</v>
      </c>
      <c r="E95" s="12">
        <v>44859</v>
      </c>
      <c r="F95" s="7">
        <f t="shared" si="1"/>
        <v>44862</v>
      </c>
      <c r="G95" s="5">
        <v>31912</v>
      </c>
      <c r="H95" s="5">
        <v>3</v>
      </c>
      <c r="I95" s="5">
        <v>13</v>
      </c>
      <c r="J95" s="5">
        <v>18</v>
      </c>
      <c r="K95" s="5">
        <v>19147.2</v>
      </c>
      <c r="L95" s="5">
        <v>900</v>
      </c>
      <c r="M95" s="5">
        <v>6382.4000000000005</v>
      </c>
      <c r="N95" s="5">
        <v>-10</v>
      </c>
      <c r="O95" s="5" t="s">
        <v>22</v>
      </c>
      <c r="P95" s="5">
        <v>0</v>
      </c>
      <c r="Q95" s="8">
        <v>0.17179744296816235</v>
      </c>
      <c r="R95" s="5">
        <f>Table1[[#This Row],[Actual Cost]]/(1+Table1[[#This Row],[Budget Overrun (%)]])</f>
        <v>27233.375692617079</v>
      </c>
      <c r="S95" s="10">
        <v>250</v>
      </c>
    </row>
    <row r="96" spans="1:19" ht="16" x14ac:dyDescent="0.4">
      <c r="A96" s="4">
        <v>95</v>
      </c>
      <c r="B96" s="5" t="s">
        <v>170</v>
      </c>
      <c r="C96" s="5" t="s">
        <v>171</v>
      </c>
      <c r="D96" s="5" t="s">
        <v>21</v>
      </c>
      <c r="E96" s="12">
        <v>44852</v>
      </c>
      <c r="F96" s="7">
        <f t="shared" si="1"/>
        <v>44862</v>
      </c>
      <c r="G96" s="5">
        <v>115000</v>
      </c>
      <c r="H96" s="5">
        <v>10</v>
      </c>
      <c r="I96" s="5">
        <v>13</v>
      </c>
      <c r="J96" s="5">
        <v>62</v>
      </c>
      <c r="K96" s="5">
        <v>75900</v>
      </c>
      <c r="L96" s="5">
        <v>3100</v>
      </c>
      <c r="M96" s="5">
        <v>25300</v>
      </c>
      <c r="N96" s="5">
        <v>-3</v>
      </c>
      <c r="O96" s="5" t="s">
        <v>22</v>
      </c>
      <c r="P96" s="5">
        <v>10000</v>
      </c>
      <c r="Q96" s="8">
        <v>9.3043478260869561E-2</v>
      </c>
      <c r="R96" s="5">
        <f>Table1[[#This Row],[Actual Cost]]/(1+Table1[[#This Row],[Budget Overrun (%)]])</f>
        <v>105210.81941129673</v>
      </c>
      <c r="S96" s="10">
        <v>0</v>
      </c>
    </row>
    <row r="97" spans="1:19" ht="16" x14ac:dyDescent="0.4">
      <c r="A97" s="4">
        <v>96</v>
      </c>
      <c r="B97" s="5" t="s">
        <v>172</v>
      </c>
      <c r="C97" s="5" t="s">
        <v>71</v>
      </c>
      <c r="D97" s="5" t="s">
        <v>21</v>
      </c>
      <c r="E97" s="12">
        <v>44933</v>
      </c>
      <c r="F97" s="7">
        <f t="shared" si="1"/>
        <v>44939</v>
      </c>
      <c r="G97" s="5">
        <v>68000</v>
      </c>
      <c r="H97" s="5">
        <v>6</v>
      </c>
      <c r="I97" s="5">
        <v>6</v>
      </c>
      <c r="J97" s="5">
        <v>37</v>
      </c>
      <c r="K97" s="5">
        <v>40120</v>
      </c>
      <c r="L97" s="5">
        <v>1850</v>
      </c>
      <c r="M97" s="5">
        <v>14280</v>
      </c>
      <c r="N97" s="5">
        <v>0</v>
      </c>
      <c r="O97" s="5" t="s">
        <v>22</v>
      </c>
      <c r="P97" s="5">
        <v>0</v>
      </c>
      <c r="Q97" s="8">
        <v>0.17279411764705888</v>
      </c>
      <c r="R97" s="5">
        <f>Table1[[#This Row],[Actual Cost]]/(1+Table1[[#This Row],[Budget Overrun (%)]])</f>
        <v>57981.191222570531</v>
      </c>
      <c r="S97" s="10">
        <v>600</v>
      </c>
    </row>
    <row r="98" spans="1:19" ht="16" x14ac:dyDescent="0.4">
      <c r="A98" s="4">
        <v>97</v>
      </c>
      <c r="B98" s="5" t="s">
        <v>173</v>
      </c>
      <c r="C98" s="5" t="s">
        <v>71</v>
      </c>
      <c r="D98" s="5" t="s">
        <v>21</v>
      </c>
      <c r="E98" s="12">
        <v>44941</v>
      </c>
      <c r="F98" s="7">
        <f t="shared" si="1"/>
        <v>44944</v>
      </c>
      <c r="G98" s="5">
        <v>30000</v>
      </c>
      <c r="H98" s="5">
        <v>3</v>
      </c>
      <c r="I98" s="5">
        <v>4</v>
      </c>
      <c r="J98" s="5">
        <v>16</v>
      </c>
      <c r="K98" s="5">
        <v>18600</v>
      </c>
      <c r="L98" s="5">
        <v>800</v>
      </c>
      <c r="M98" s="5">
        <v>6000</v>
      </c>
      <c r="N98" s="5">
        <v>-1</v>
      </c>
      <c r="O98" s="5" t="s">
        <v>22</v>
      </c>
      <c r="P98" s="5">
        <v>0</v>
      </c>
      <c r="Q98" s="8">
        <v>0.15333333333333332</v>
      </c>
      <c r="R98" s="5">
        <f>Table1[[#This Row],[Actual Cost]]/(1+Table1[[#This Row],[Budget Overrun (%)]])</f>
        <v>26011.560693641619</v>
      </c>
      <c r="S98" s="10">
        <v>400</v>
      </c>
    </row>
    <row r="99" spans="1:19" ht="16" x14ac:dyDescent="0.4">
      <c r="A99" s="4">
        <v>98</v>
      </c>
      <c r="B99" s="5" t="s">
        <v>174</v>
      </c>
      <c r="C99" s="5" t="s">
        <v>71</v>
      </c>
      <c r="D99" s="5" t="s">
        <v>21</v>
      </c>
      <c r="E99" s="12">
        <v>44931</v>
      </c>
      <c r="F99" s="7">
        <f t="shared" si="1"/>
        <v>44936</v>
      </c>
      <c r="G99" s="5">
        <v>50000</v>
      </c>
      <c r="H99" s="5">
        <v>5</v>
      </c>
      <c r="I99" s="5">
        <v>5</v>
      </c>
      <c r="J99" s="5">
        <v>27</v>
      </c>
      <c r="K99" s="5">
        <v>30500</v>
      </c>
      <c r="L99" s="5">
        <v>1350</v>
      </c>
      <c r="M99" s="5">
        <v>11000</v>
      </c>
      <c r="N99" s="5">
        <v>0</v>
      </c>
      <c r="O99" s="5" t="s">
        <v>22</v>
      </c>
      <c r="P99" s="5">
        <v>0</v>
      </c>
      <c r="Q99" s="8">
        <v>0.14300000000000002</v>
      </c>
      <c r="R99" s="5">
        <f>Table1[[#This Row],[Actual Cost]]/(1+Table1[[#This Row],[Budget Overrun (%)]])</f>
        <v>43744.531933508311</v>
      </c>
      <c r="S99" s="10">
        <v>738</v>
      </c>
    </row>
    <row r="100" spans="1:19" ht="16" x14ac:dyDescent="0.4">
      <c r="A100" s="4">
        <v>99</v>
      </c>
      <c r="B100" s="5" t="s">
        <v>175</v>
      </c>
      <c r="C100" s="5" t="s">
        <v>71</v>
      </c>
      <c r="D100" s="5" t="s">
        <v>21</v>
      </c>
      <c r="E100" s="12">
        <v>45087</v>
      </c>
      <c r="F100" s="7">
        <f t="shared" si="1"/>
        <v>45091</v>
      </c>
      <c r="G100" s="5">
        <v>43000</v>
      </c>
      <c r="H100" s="5">
        <v>4</v>
      </c>
      <c r="I100" s="5">
        <v>12</v>
      </c>
      <c r="J100" s="5">
        <v>23</v>
      </c>
      <c r="K100" s="5">
        <v>25370</v>
      </c>
      <c r="L100" s="5">
        <v>1150</v>
      </c>
      <c r="M100" s="5">
        <v>9030</v>
      </c>
      <c r="N100" s="5">
        <v>-8</v>
      </c>
      <c r="O100" s="5" t="s">
        <v>22</v>
      </c>
      <c r="P100" s="5">
        <v>0</v>
      </c>
      <c r="Q100" s="8">
        <v>0.17325581395348832</v>
      </c>
      <c r="R100" s="5">
        <f>Table1[[#This Row],[Actual Cost]]/(1+Table1[[#This Row],[Budget Overrun (%)]])</f>
        <v>36650.148662041625</v>
      </c>
      <c r="S100" s="10">
        <v>725</v>
      </c>
    </row>
    <row r="101" spans="1:19" ht="16" x14ac:dyDescent="0.4">
      <c r="A101" s="4">
        <v>100</v>
      </c>
      <c r="B101" s="5" t="s">
        <v>176</v>
      </c>
      <c r="C101" s="5" t="s">
        <v>71</v>
      </c>
      <c r="D101" s="5" t="s">
        <v>21</v>
      </c>
      <c r="E101" s="12">
        <v>45119</v>
      </c>
      <c r="F101" s="7">
        <f t="shared" si="1"/>
        <v>45128</v>
      </c>
      <c r="G101" s="5">
        <v>100000</v>
      </c>
      <c r="H101" s="5">
        <v>9</v>
      </c>
      <c r="I101" s="5">
        <v>11</v>
      </c>
      <c r="J101" s="5">
        <v>54</v>
      </c>
      <c r="K101" s="5">
        <v>55000.000000000007</v>
      </c>
      <c r="L101" s="5">
        <v>2700</v>
      </c>
      <c r="M101" s="5">
        <v>20000</v>
      </c>
      <c r="N101" s="5">
        <v>-2</v>
      </c>
      <c r="O101" s="5" t="s">
        <v>22</v>
      </c>
      <c r="P101" s="5">
        <v>0</v>
      </c>
      <c r="Q101" s="8">
        <v>0.22299999999999998</v>
      </c>
      <c r="R101" s="5">
        <f>Table1[[#This Row],[Actual Cost]]/(1+Table1[[#This Row],[Budget Overrun (%)]])</f>
        <v>81766.14881439085</v>
      </c>
      <c r="S101" s="10">
        <v>1050</v>
      </c>
    </row>
    <row r="102" spans="1:19" ht="16" x14ac:dyDescent="0.4">
      <c r="A102" s="4">
        <v>101</v>
      </c>
      <c r="B102" s="5" t="s">
        <v>177</v>
      </c>
      <c r="C102" s="5" t="s">
        <v>71</v>
      </c>
      <c r="D102" s="5" t="s">
        <v>21</v>
      </c>
      <c r="E102" s="12">
        <v>45168</v>
      </c>
      <c r="F102" s="7">
        <f t="shared" si="1"/>
        <v>45311</v>
      </c>
      <c r="G102" s="5">
        <v>1711000</v>
      </c>
      <c r="H102" s="5">
        <v>143</v>
      </c>
      <c r="I102" s="5">
        <v>148</v>
      </c>
      <c r="J102" s="5">
        <v>913</v>
      </c>
      <c r="K102" s="5">
        <v>1146370</v>
      </c>
      <c r="L102" s="5">
        <v>45650</v>
      </c>
      <c r="M102" s="5">
        <v>376420</v>
      </c>
      <c r="N102" s="5">
        <v>-5</v>
      </c>
      <c r="O102" s="5" t="s">
        <v>22</v>
      </c>
      <c r="P102" s="5">
        <v>0</v>
      </c>
      <c r="Q102" s="8">
        <v>8.3319696084161343E-2</v>
      </c>
      <c r="R102" s="5">
        <f>Table1[[#This Row],[Actual Cost]]/(1+Table1[[#This Row],[Budget Overrun (%)]])</f>
        <v>1579404.4972916981</v>
      </c>
      <c r="S102" s="10">
        <v>5000</v>
      </c>
    </row>
    <row r="103" spans="1:19" ht="16" x14ac:dyDescent="0.4">
      <c r="A103" s="4">
        <v>102</v>
      </c>
      <c r="B103" s="5" t="s">
        <v>178</v>
      </c>
      <c r="C103" s="5" t="s">
        <v>71</v>
      </c>
      <c r="D103" s="5" t="s">
        <v>21</v>
      </c>
      <c r="E103" s="12">
        <v>45266</v>
      </c>
      <c r="F103" s="7">
        <f t="shared" si="1"/>
        <v>45275</v>
      </c>
      <c r="G103" s="5">
        <v>100000</v>
      </c>
      <c r="H103" s="5">
        <v>9</v>
      </c>
      <c r="I103" s="5">
        <v>10</v>
      </c>
      <c r="J103" s="5">
        <v>54</v>
      </c>
      <c r="K103" s="5">
        <v>68000</v>
      </c>
      <c r="L103" s="5">
        <v>2700</v>
      </c>
      <c r="M103" s="5">
        <v>21000</v>
      </c>
      <c r="N103" s="5">
        <v>-1</v>
      </c>
      <c r="O103" s="5" t="s">
        <v>22</v>
      </c>
      <c r="P103" s="5">
        <v>0</v>
      </c>
      <c r="Q103" s="8">
        <v>8.2999999999999963E-2</v>
      </c>
      <c r="R103" s="5">
        <f>Table1[[#This Row],[Actual Cost]]/(1+Table1[[#This Row],[Budget Overrun (%)]])</f>
        <v>92336.103416435828</v>
      </c>
      <c r="S103" s="10">
        <v>1050</v>
      </c>
    </row>
    <row r="104" spans="1:19" ht="16" x14ac:dyDescent="0.4">
      <c r="A104" s="4">
        <v>103</v>
      </c>
      <c r="B104" s="5" t="s">
        <v>179</v>
      </c>
      <c r="C104" s="5" t="s">
        <v>100</v>
      </c>
      <c r="D104" s="5" t="s">
        <v>21</v>
      </c>
      <c r="E104" s="12">
        <v>45091</v>
      </c>
      <c r="F104" s="7">
        <f t="shared" si="1"/>
        <v>45093</v>
      </c>
      <c r="G104" s="5">
        <v>18000</v>
      </c>
      <c r="H104" s="5">
        <v>2</v>
      </c>
      <c r="I104" s="5">
        <v>12</v>
      </c>
      <c r="J104" s="5">
        <v>10</v>
      </c>
      <c r="K104" s="5">
        <v>8100</v>
      </c>
      <c r="L104" s="5">
        <v>500</v>
      </c>
      <c r="M104" s="5">
        <v>3600</v>
      </c>
      <c r="N104" s="5">
        <v>-10</v>
      </c>
      <c r="O104" s="5" t="s">
        <v>22</v>
      </c>
      <c r="P104" s="5">
        <v>1</v>
      </c>
      <c r="Q104" s="8">
        <v>0.32222222222222219</v>
      </c>
      <c r="R104" s="5">
        <f>Table1[[#This Row],[Actual Cost]]/(1+Table1[[#This Row],[Budget Overrun (%)]])</f>
        <v>13613.44537815126</v>
      </c>
      <c r="S104" s="10">
        <v>180</v>
      </c>
    </row>
    <row r="105" spans="1:19" ht="16" x14ac:dyDescent="0.4">
      <c r="A105" s="4">
        <v>104</v>
      </c>
      <c r="B105" s="5" t="s">
        <v>155</v>
      </c>
      <c r="C105" s="5" t="s">
        <v>180</v>
      </c>
      <c r="D105" s="5" t="s">
        <v>21</v>
      </c>
      <c r="E105" s="12">
        <v>45092</v>
      </c>
      <c r="F105" s="7">
        <f t="shared" si="1"/>
        <v>45100</v>
      </c>
      <c r="G105" s="5">
        <v>95000</v>
      </c>
      <c r="H105" s="5">
        <v>8</v>
      </c>
      <c r="I105" s="5">
        <v>11</v>
      </c>
      <c r="J105" s="5">
        <v>51</v>
      </c>
      <c r="K105" s="5">
        <v>61750</v>
      </c>
      <c r="L105" s="5">
        <v>2550</v>
      </c>
      <c r="M105" s="5">
        <v>20900</v>
      </c>
      <c r="N105" s="5">
        <v>-3</v>
      </c>
      <c r="O105" s="5" t="s">
        <v>22</v>
      </c>
      <c r="P105" s="5">
        <v>2</v>
      </c>
      <c r="Q105" s="8">
        <v>0.10315789473684212</v>
      </c>
      <c r="R105" s="5">
        <f>Table1[[#This Row],[Actual Cost]]/(1+Table1[[#This Row],[Budget Overrun (%)]])</f>
        <v>86116.412213740463</v>
      </c>
      <c r="S105" s="10">
        <v>1050</v>
      </c>
    </row>
    <row r="106" spans="1:19" ht="16" x14ac:dyDescent="0.4">
      <c r="A106" s="13">
        <v>105</v>
      </c>
      <c r="B106" s="14" t="s">
        <v>39</v>
      </c>
      <c r="C106" s="14" t="s">
        <v>181</v>
      </c>
      <c r="D106" s="14" t="s">
        <v>21</v>
      </c>
      <c r="E106" s="15">
        <v>45093</v>
      </c>
      <c r="F106" s="16">
        <f t="shared" si="1"/>
        <v>45275</v>
      </c>
      <c r="G106" s="14">
        <v>2175000</v>
      </c>
      <c r="H106" s="14">
        <v>182</v>
      </c>
      <c r="I106" s="14">
        <v>182</v>
      </c>
      <c r="J106" s="14">
        <v>1160</v>
      </c>
      <c r="K106" s="14">
        <v>1370250</v>
      </c>
      <c r="L106" s="14">
        <v>58000</v>
      </c>
      <c r="M106" s="14">
        <v>456750</v>
      </c>
      <c r="N106" s="14">
        <v>0</v>
      </c>
      <c r="O106" s="14" t="s">
        <v>22</v>
      </c>
      <c r="P106" s="14">
        <v>3</v>
      </c>
      <c r="Q106" s="17">
        <v>0.1333333333333333</v>
      </c>
      <c r="R106" s="14">
        <f>Table1[[#This Row],[Actual Cost]]/(1+Table1[[#This Row],[Budget Overrun (%)]])</f>
        <v>1919117.6470588236</v>
      </c>
      <c r="S106" s="10">
        <v>9320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FFD44-030D-42CE-90C9-C370403EAC36}">
  <dimension ref="A1:J41"/>
  <sheetViews>
    <sheetView topLeftCell="A9" zoomScale="130" zoomScaleNormal="130" workbookViewId="0">
      <selection activeCell="O21" sqref="O21"/>
    </sheetView>
  </sheetViews>
  <sheetFormatPr defaultRowHeight="14.5" x14ac:dyDescent="0.35"/>
  <cols>
    <col min="1" max="1" width="16.1796875" bestFit="1" customWidth="1"/>
    <col min="2" max="2" width="11.81640625" bestFit="1" customWidth="1"/>
    <col min="5" max="5" width="16.1796875" bestFit="1" customWidth="1"/>
    <col min="6" max="6" width="11.81640625" bestFit="1" customWidth="1"/>
    <col min="9" max="9" width="16.1796875" bestFit="1" customWidth="1"/>
    <col min="10" max="10" width="11.81640625" bestFit="1" customWidth="1"/>
  </cols>
  <sheetData>
    <row r="1" spans="1:10" x14ac:dyDescent="0.35">
      <c r="A1" s="18" t="s">
        <v>6</v>
      </c>
      <c r="B1" s="18"/>
      <c r="E1" s="18" t="s">
        <v>17</v>
      </c>
      <c r="F1" s="18"/>
      <c r="I1" s="18" t="s">
        <v>16</v>
      </c>
      <c r="J1" s="18"/>
    </row>
    <row r="3" spans="1:10" x14ac:dyDescent="0.35">
      <c r="A3" s="19" t="s">
        <v>182</v>
      </c>
      <c r="B3" s="19">
        <v>150637.33333333334</v>
      </c>
      <c r="E3" s="19" t="s">
        <v>182</v>
      </c>
      <c r="F3" s="19">
        <v>133860.94668621779</v>
      </c>
      <c r="I3" s="19" t="s">
        <v>182</v>
      </c>
      <c r="J3" s="19">
        <v>0.13773178631300517</v>
      </c>
    </row>
    <row r="4" spans="1:10" x14ac:dyDescent="0.35">
      <c r="A4" t="s">
        <v>183</v>
      </c>
      <c r="B4">
        <v>31429.973061220713</v>
      </c>
      <c r="E4" t="s">
        <v>183</v>
      </c>
      <c r="F4">
        <v>28185.556576360061</v>
      </c>
      <c r="I4" t="s">
        <v>183</v>
      </c>
      <c r="J4">
        <v>3.9762426469721222E-3</v>
      </c>
    </row>
    <row r="5" spans="1:10" x14ac:dyDescent="0.35">
      <c r="A5" s="19" t="s">
        <v>184</v>
      </c>
      <c r="B5" s="19">
        <v>51000</v>
      </c>
      <c r="E5" s="19" t="s">
        <v>184</v>
      </c>
      <c r="F5" s="19">
        <v>45892.735913102508</v>
      </c>
      <c r="I5" s="19" t="s">
        <v>184</v>
      </c>
      <c r="J5" s="19">
        <v>0.13327272727272732</v>
      </c>
    </row>
    <row r="6" spans="1:10" x14ac:dyDescent="0.35">
      <c r="A6" s="19" t="s">
        <v>185</v>
      </c>
      <c r="B6" s="19">
        <v>10000</v>
      </c>
      <c r="E6" s="19" t="s">
        <v>185</v>
      </c>
      <c r="F6" s="19">
        <v>39705.882352941175</v>
      </c>
      <c r="I6" s="19" t="s">
        <v>185</v>
      </c>
      <c r="J6" s="19">
        <v>0.1333333333333333</v>
      </c>
    </row>
    <row r="7" spans="1:10" x14ac:dyDescent="0.35">
      <c r="A7" s="19" t="s">
        <v>186</v>
      </c>
      <c r="B7" s="19">
        <v>322061.38653376512</v>
      </c>
      <c r="E7" s="19" t="s">
        <v>186</v>
      </c>
      <c r="F7" s="19">
        <v>288816.01054913033</v>
      </c>
      <c r="I7" s="19" t="s">
        <v>186</v>
      </c>
      <c r="J7" s="19">
        <v>4.0744362637032211E-2</v>
      </c>
    </row>
    <row r="8" spans="1:10" x14ac:dyDescent="0.35">
      <c r="A8" t="s">
        <v>187</v>
      </c>
      <c r="B8">
        <v>103723536696.05128</v>
      </c>
      <c r="E8" t="s">
        <v>187</v>
      </c>
      <c r="F8">
        <v>83414687949.51535</v>
      </c>
      <c r="I8" t="s">
        <v>187</v>
      </c>
      <c r="J8">
        <v>1.6601030866979867E-3</v>
      </c>
    </row>
    <row r="9" spans="1:10" x14ac:dyDescent="0.35">
      <c r="A9" t="s">
        <v>188</v>
      </c>
      <c r="B9">
        <v>20.689292601736604</v>
      </c>
      <c r="E9" t="s">
        <v>188</v>
      </c>
      <c r="F9">
        <v>20.472270104382211</v>
      </c>
      <c r="I9" t="s">
        <v>188</v>
      </c>
      <c r="J9">
        <v>2.9834901968082574</v>
      </c>
    </row>
    <row r="10" spans="1:10" x14ac:dyDescent="0.35">
      <c r="A10" s="19" t="s">
        <v>189</v>
      </c>
      <c r="B10" s="19">
        <v>4.3017544275308621</v>
      </c>
      <c r="E10" s="19" t="s">
        <v>189</v>
      </c>
      <c r="F10" s="19">
        <v>4.3002564796330836</v>
      </c>
      <c r="I10" s="19" t="s">
        <v>189</v>
      </c>
      <c r="J10" s="19">
        <v>0.5757492852265923</v>
      </c>
    </row>
    <row r="11" spans="1:10" x14ac:dyDescent="0.35">
      <c r="A11" t="s">
        <v>190</v>
      </c>
      <c r="B11">
        <v>2170534</v>
      </c>
      <c r="E11" t="s">
        <v>190</v>
      </c>
      <c r="F11">
        <v>1915152.8487063539</v>
      </c>
      <c r="I11" t="s">
        <v>190</v>
      </c>
      <c r="J11">
        <v>0.28222222222222215</v>
      </c>
    </row>
    <row r="12" spans="1:10" x14ac:dyDescent="0.35">
      <c r="A12" t="s">
        <v>191</v>
      </c>
      <c r="B12">
        <v>4466</v>
      </c>
      <c r="E12" t="s">
        <v>191</v>
      </c>
      <c r="F12">
        <v>3964.7983524697052</v>
      </c>
      <c r="I12" t="s">
        <v>191</v>
      </c>
      <c r="J12">
        <v>4.0000000000000036E-2</v>
      </c>
    </row>
    <row r="13" spans="1:10" x14ac:dyDescent="0.35">
      <c r="A13" t="s">
        <v>192</v>
      </c>
      <c r="B13">
        <v>2175000</v>
      </c>
      <c r="E13" t="s">
        <v>192</v>
      </c>
      <c r="F13">
        <v>1919117.6470588236</v>
      </c>
      <c r="I13" t="s">
        <v>192</v>
      </c>
      <c r="J13">
        <v>0.32222222222222219</v>
      </c>
    </row>
    <row r="14" spans="1:10" x14ac:dyDescent="0.35">
      <c r="A14" t="s">
        <v>193</v>
      </c>
      <c r="B14">
        <v>15816920</v>
      </c>
      <c r="E14" t="s">
        <v>193</v>
      </c>
      <c r="F14">
        <v>14055399.402052868</v>
      </c>
      <c r="I14" t="s">
        <v>193</v>
      </c>
      <c r="J14">
        <v>14.461837562865542</v>
      </c>
    </row>
    <row r="15" spans="1:10" ht="15" thickBot="1" x14ac:dyDescent="0.4">
      <c r="A15" s="20" t="s">
        <v>194</v>
      </c>
      <c r="B15" s="20">
        <v>105</v>
      </c>
      <c r="E15" s="20" t="s">
        <v>194</v>
      </c>
      <c r="F15" s="20">
        <v>105</v>
      </c>
      <c r="I15" s="20" t="s">
        <v>194</v>
      </c>
      <c r="J15" s="20">
        <v>105</v>
      </c>
    </row>
    <row r="26" spans="1:10" ht="15" thickBot="1" x14ac:dyDescent="0.4"/>
    <row r="27" spans="1:10" x14ac:dyDescent="0.35">
      <c r="A27" s="18" t="s">
        <v>10</v>
      </c>
      <c r="B27" s="18"/>
      <c r="E27" s="18" t="s">
        <v>11</v>
      </c>
      <c r="F27" s="18"/>
      <c r="I27" s="18" t="s">
        <v>12</v>
      </c>
      <c r="J27" s="18"/>
    </row>
    <row r="29" spans="1:10" x14ac:dyDescent="0.35">
      <c r="A29" s="19" t="s">
        <v>182</v>
      </c>
      <c r="B29" s="19">
        <v>94878.377142857134</v>
      </c>
      <c r="E29" s="19" t="s">
        <v>182</v>
      </c>
      <c r="F29" s="19">
        <v>4041.4285714285716</v>
      </c>
      <c r="I29" s="19" t="s">
        <v>182</v>
      </c>
      <c r="J29" s="19">
        <v>32641.41657142857</v>
      </c>
    </row>
    <row r="30" spans="1:10" x14ac:dyDescent="0.35">
      <c r="A30" t="s">
        <v>183</v>
      </c>
      <c r="B30">
        <v>20046.873442135638</v>
      </c>
      <c r="E30" t="s">
        <v>183</v>
      </c>
      <c r="F30">
        <v>837.87283460568926</v>
      </c>
      <c r="I30" t="s">
        <v>183</v>
      </c>
      <c r="J30">
        <v>6932.0017228673833</v>
      </c>
    </row>
    <row r="31" spans="1:10" x14ac:dyDescent="0.35">
      <c r="A31" s="19" t="s">
        <v>184</v>
      </c>
      <c r="B31" s="19">
        <v>32480.5</v>
      </c>
      <c r="E31" s="19" t="s">
        <v>184</v>
      </c>
      <c r="F31" s="19">
        <v>1400</v>
      </c>
      <c r="I31" s="19" t="s">
        <v>184</v>
      </c>
      <c r="J31" s="19">
        <v>11220</v>
      </c>
    </row>
    <row r="32" spans="1:10" x14ac:dyDescent="0.35">
      <c r="A32" s="19" t="s">
        <v>185</v>
      </c>
      <c r="B32" s="19">
        <v>7800</v>
      </c>
      <c r="E32" s="19" t="s">
        <v>185</v>
      </c>
      <c r="F32" s="19">
        <v>350</v>
      </c>
      <c r="I32" s="19" t="s">
        <v>185</v>
      </c>
      <c r="J32" s="19">
        <v>3200</v>
      </c>
    </row>
    <row r="33" spans="1:10" x14ac:dyDescent="0.35">
      <c r="A33" s="19" t="s">
        <v>186</v>
      </c>
      <c r="B33" s="19">
        <v>205419.32517298689</v>
      </c>
      <c r="E33" s="19" t="s">
        <v>186</v>
      </c>
      <c r="F33" s="19">
        <v>8585.6416843395073</v>
      </c>
      <c r="I33" s="19" t="s">
        <v>186</v>
      </c>
      <c r="J33" s="19">
        <v>71031.880363769189</v>
      </c>
    </row>
    <row r="34" spans="1:10" x14ac:dyDescent="0.35">
      <c r="A34" t="s">
        <v>187</v>
      </c>
      <c r="B34">
        <v>42197099154.525322</v>
      </c>
      <c r="E34" t="s">
        <v>187</v>
      </c>
      <c r="F34">
        <v>73713243.131868139</v>
      </c>
      <c r="I34" t="s">
        <v>187</v>
      </c>
      <c r="J34">
        <v>5045528028.0128193</v>
      </c>
    </row>
    <row r="35" spans="1:10" x14ac:dyDescent="0.35">
      <c r="A35" t="s">
        <v>188</v>
      </c>
      <c r="B35">
        <v>21.070613825380907</v>
      </c>
      <c r="E35" t="s">
        <v>188</v>
      </c>
      <c r="F35">
        <v>20.687148564640463</v>
      </c>
      <c r="I35" t="s">
        <v>188</v>
      </c>
      <c r="J35">
        <v>19.021487637871076</v>
      </c>
    </row>
    <row r="36" spans="1:10" x14ac:dyDescent="0.35">
      <c r="A36" s="19" t="s">
        <v>189</v>
      </c>
      <c r="B36" s="19">
        <v>4.3536345378455987</v>
      </c>
      <c r="E36" s="19" t="s">
        <v>189</v>
      </c>
      <c r="F36" s="19">
        <v>4.3017212927500248</v>
      </c>
      <c r="I36" s="19" t="s">
        <v>189</v>
      </c>
      <c r="J36" s="19">
        <v>4.1984251571674696</v>
      </c>
    </row>
    <row r="37" spans="1:10" x14ac:dyDescent="0.35">
      <c r="A37" t="s">
        <v>190</v>
      </c>
      <c r="B37">
        <v>1367436.42</v>
      </c>
      <c r="E37" t="s">
        <v>190</v>
      </c>
      <c r="F37">
        <v>57850</v>
      </c>
      <c r="I37" t="s">
        <v>190</v>
      </c>
      <c r="J37">
        <v>455812.14</v>
      </c>
    </row>
    <row r="38" spans="1:10" x14ac:dyDescent="0.35">
      <c r="A38" t="s">
        <v>191</v>
      </c>
      <c r="B38">
        <v>2813.58</v>
      </c>
      <c r="E38" t="s">
        <v>191</v>
      </c>
      <c r="F38">
        <v>150</v>
      </c>
      <c r="I38" t="s">
        <v>191</v>
      </c>
      <c r="J38">
        <v>937.86</v>
      </c>
    </row>
    <row r="39" spans="1:10" x14ac:dyDescent="0.35">
      <c r="A39" t="s">
        <v>192</v>
      </c>
      <c r="B39">
        <v>1370250</v>
      </c>
      <c r="E39" t="s">
        <v>192</v>
      </c>
      <c r="F39">
        <v>58000</v>
      </c>
      <c r="I39" t="s">
        <v>192</v>
      </c>
      <c r="J39">
        <v>456750</v>
      </c>
    </row>
    <row r="40" spans="1:10" x14ac:dyDescent="0.35">
      <c r="A40" t="s">
        <v>193</v>
      </c>
      <c r="B40">
        <v>9962229.5999999996</v>
      </c>
      <c r="E40" t="s">
        <v>193</v>
      </c>
      <c r="F40">
        <v>424350</v>
      </c>
      <c r="I40" t="s">
        <v>193</v>
      </c>
      <c r="J40">
        <v>3427348.7399999998</v>
      </c>
    </row>
    <row r="41" spans="1:10" ht="15" thickBot="1" x14ac:dyDescent="0.4">
      <c r="A41" s="20" t="s">
        <v>194</v>
      </c>
      <c r="B41" s="20">
        <v>105</v>
      </c>
      <c r="E41" s="20" t="s">
        <v>194</v>
      </c>
      <c r="F41" s="20">
        <v>105</v>
      </c>
      <c r="I41" s="20" t="s">
        <v>194</v>
      </c>
      <c r="J41" s="20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9926E-7781-4C48-A004-DFC70E15CBF0}">
  <dimension ref="A1:J15"/>
  <sheetViews>
    <sheetView workbookViewId="0">
      <selection activeCell="Q27" sqref="Q27"/>
    </sheetView>
  </sheetViews>
  <sheetFormatPr defaultRowHeight="14.5" x14ac:dyDescent="0.35"/>
  <cols>
    <col min="1" max="1" width="16.1796875" bestFit="1" customWidth="1"/>
    <col min="2" max="2" width="11.81640625" bestFit="1" customWidth="1"/>
    <col min="5" max="5" width="16.1796875" bestFit="1" customWidth="1"/>
    <col min="6" max="6" width="11.81640625" bestFit="1" customWidth="1"/>
    <col min="9" max="9" width="16.1796875" bestFit="1" customWidth="1"/>
    <col min="10" max="10" width="12.453125" bestFit="1" customWidth="1"/>
  </cols>
  <sheetData>
    <row r="1" spans="1:10" x14ac:dyDescent="0.35">
      <c r="A1" s="18" t="s">
        <v>8</v>
      </c>
      <c r="B1" s="18"/>
      <c r="E1" s="18" t="s">
        <v>7</v>
      </c>
      <c r="F1" s="18"/>
      <c r="I1" s="18" t="s">
        <v>13</v>
      </c>
      <c r="J1" s="18"/>
    </row>
    <row r="3" spans="1:10" x14ac:dyDescent="0.35">
      <c r="A3" s="19" t="s">
        <v>182</v>
      </c>
      <c r="B3" s="19">
        <v>49.438095238095237</v>
      </c>
      <c r="E3" s="19" t="s">
        <v>182</v>
      </c>
      <c r="F3" s="19">
        <v>46.095238095238095</v>
      </c>
      <c r="I3" s="19" t="s">
        <v>182</v>
      </c>
      <c r="J3" s="19">
        <v>-3.342857142857143</v>
      </c>
    </row>
    <row r="4" spans="1:10" x14ac:dyDescent="0.35">
      <c r="A4" t="s">
        <v>183</v>
      </c>
      <c r="B4">
        <v>5.9836915696147885</v>
      </c>
      <c r="E4" t="s">
        <v>183</v>
      </c>
      <c r="F4">
        <v>6.001427238819379</v>
      </c>
      <c r="I4" t="s">
        <v>183</v>
      </c>
      <c r="J4">
        <v>0.33282797903963318</v>
      </c>
    </row>
    <row r="5" spans="1:10" x14ac:dyDescent="0.35">
      <c r="A5" s="19" t="s">
        <v>184</v>
      </c>
      <c r="B5" s="19">
        <v>13</v>
      </c>
      <c r="E5" s="19" t="s">
        <v>184</v>
      </c>
      <c r="F5" s="19">
        <v>9</v>
      </c>
      <c r="I5" s="19" t="s">
        <v>184</v>
      </c>
      <c r="J5" s="19">
        <v>-2</v>
      </c>
    </row>
    <row r="6" spans="1:10" x14ac:dyDescent="0.35">
      <c r="A6" s="19" t="s">
        <v>185</v>
      </c>
      <c r="B6" s="19">
        <v>12</v>
      </c>
      <c r="E6" s="19" t="s">
        <v>185</v>
      </c>
      <c r="F6" s="19">
        <v>2</v>
      </c>
      <c r="I6" s="19" t="s">
        <v>185</v>
      </c>
      <c r="J6" s="19">
        <v>-1</v>
      </c>
    </row>
    <row r="7" spans="1:10" x14ac:dyDescent="0.35">
      <c r="A7" s="19" t="s">
        <v>186</v>
      </c>
      <c r="B7" s="19">
        <v>61.314592912530244</v>
      </c>
      <c r="E7" s="19" t="s">
        <v>186</v>
      </c>
      <c r="F7" s="19">
        <v>61.49632944167103</v>
      </c>
      <c r="I7" s="19" t="s">
        <v>186</v>
      </c>
      <c r="J7" s="19">
        <v>3.4104719147529541</v>
      </c>
    </row>
    <row r="8" spans="1:10" x14ac:dyDescent="0.35">
      <c r="A8" t="s">
        <v>187</v>
      </c>
      <c r="B8">
        <v>3759.4793040293039</v>
      </c>
      <c r="E8" t="s">
        <v>187</v>
      </c>
      <c r="F8">
        <v>3781.798534798535</v>
      </c>
      <c r="I8" t="s">
        <v>187</v>
      </c>
      <c r="J8">
        <v>11.631318681318682</v>
      </c>
    </row>
    <row r="9" spans="1:10" x14ac:dyDescent="0.35">
      <c r="A9" t="s">
        <v>188</v>
      </c>
      <c r="B9">
        <v>1.6845847424915057</v>
      </c>
      <c r="E9" t="s">
        <v>188</v>
      </c>
      <c r="F9">
        <v>1.7739110964029674</v>
      </c>
      <c r="I9" t="s">
        <v>188</v>
      </c>
      <c r="J9">
        <v>-0.64611326735501784</v>
      </c>
    </row>
    <row r="10" spans="1:10" x14ac:dyDescent="0.35">
      <c r="A10" s="19" t="s">
        <v>189</v>
      </c>
      <c r="B10" s="19">
        <v>1.5286871575405732</v>
      </c>
      <c r="E10" s="19" t="s">
        <v>189</v>
      </c>
      <c r="F10" s="19">
        <v>1.5487006967032928</v>
      </c>
      <c r="I10" s="19" t="s">
        <v>189</v>
      </c>
      <c r="J10" s="19">
        <v>-0.87017997760268762</v>
      </c>
    </row>
    <row r="11" spans="1:10" x14ac:dyDescent="0.35">
      <c r="A11" t="s">
        <v>190</v>
      </c>
      <c r="B11">
        <v>250</v>
      </c>
      <c r="E11" t="s">
        <v>190</v>
      </c>
      <c r="F11">
        <v>249</v>
      </c>
      <c r="I11" t="s">
        <v>190</v>
      </c>
      <c r="J11">
        <v>10</v>
      </c>
    </row>
    <row r="12" spans="1:10" x14ac:dyDescent="0.35">
      <c r="A12" t="s">
        <v>191</v>
      </c>
      <c r="B12">
        <v>1</v>
      </c>
      <c r="E12" t="s">
        <v>191</v>
      </c>
      <c r="F12">
        <v>1</v>
      </c>
      <c r="I12" t="s">
        <v>191</v>
      </c>
      <c r="J12">
        <v>-10</v>
      </c>
    </row>
    <row r="13" spans="1:10" x14ac:dyDescent="0.35">
      <c r="A13" t="s">
        <v>192</v>
      </c>
      <c r="B13">
        <v>251</v>
      </c>
      <c r="E13" t="s">
        <v>192</v>
      </c>
      <c r="F13">
        <v>250</v>
      </c>
      <c r="I13" t="s">
        <v>192</v>
      </c>
      <c r="J13">
        <v>0</v>
      </c>
    </row>
    <row r="14" spans="1:10" x14ac:dyDescent="0.35">
      <c r="A14" t="s">
        <v>193</v>
      </c>
      <c r="B14">
        <v>5191</v>
      </c>
      <c r="E14" t="s">
        <v>193</v>
      </c>
      <c r="F14">
        <v>4840</v>
      </c>
      <c r="I14" t="s">
        <v>193</v>
      </c>
      <c r="J14">
        <v>-351</v>
      </c>
    </row>
    <row r="15" spans="1:10" ht="15" thickBot="1" x14ac:dyDescent="0.4">
      <c r="A15" s="20" t="s">
        <v>194</v>
      </c>
      <c r="B15" s="20">
        <v>105</v>
      </c>
      <c r="E15" s="20" t="s">
        <v>194</v>
      </c>
      <c r="F15" s="20">
        <v>105</v>
      </c>
      <c r="I15" s="20" t="s">
        <v>194</v>
      </c>
      <c r="J15" s="20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48FE1-C17C-46D2-9B8A-B87D35C88C98}">
  <dimension ref="A1:B15"/>
  <sheetViews>
    <sheetView workbookViewId="0">
      <selection activeCell="O22" sqref="O22"/>
    </sheetView>
  </sheetViews>
  <sheetFormatPr defaultRowHeight="14.5" x14ac:dyDescent="0.35"/>
  <cols>
    <col min="1" max="1" width="16.1796875" bestFit="1" customWidth="1"/>
    <col min="2" max="2" width="11.81640625" bestFit="1" customWidth="1"/>
  </cols>
  <sheetData>
    <row r="1" spans="1:2" x14ac:dyDescent="0.35">
      <c r="A1" s="18" t="s">
        <v>9</v>
      </c>
      <c r="B1" s="18"/>
    </row>
    <row r="3" spans="1:2" x14ac:dyDescent="0.35">
      <c r="A3" s="19" t="s">
        <v>182</v>
      </c>
      <c r="B3" s="19">
        <v>80.828571428571422</v>
      </c>
    </row>
    <row r="4" spans="1:2" x14ac:dyDescent="0.35">
      <c r="A4" t="s">
        <v>183</v>
      </c>
      <c r="B4">
        <v>16.757456692113784</v>
      </c>
    </row>
    <row r="5" spans="1:2" x14ac:dyDescent="0.35">
      <c r="A5" s="19" t="s">
        <v>184</v>
      </c>
      <c r="B5" s="19">
        <v>28</v>
      </c>
    </row>
    <row r="6" spans="1:2" x14ac:dyDescent="0.35">
      <c r="A6" s="19" t="s">
        <v>185</v>
      </c>
      <c r="B6" s="19">
        <v>7</v>
      </c>
    </row>
    <row r="7" spans="1:2" x14ac:dyDescent="0.35">
      <c r="A7" s="19" t="s">
        <v>186</v>
      </c>
      <c r="B7" s="19">
        <v>171.71283368679013</v>
      </c>
    </row>
    <row r="8" spans="1:2" x14ac:dyDescent="0.35">
      <c r="A8" t="s">
        <v>187</v>
      </c>
      <c r="B8">
        <v>29485.297252747252</v>
      </c>
    </row>
    <row r="9" spans="1:2" x14ac:dyDescent="0.35">
      <c r="A9" t="s">
        <v>188</v>
      </c>
      <c r="B9">
        <v>20.68714856464047</v>
      </c>
    </row>
    <row r="10" spans="1:2" x14ac:dyDescent="0.35">
      <c r="A10" s="19" t="s">
        <v>189</v>
      </c>
      <c r="B10" s="19">
        <v>4.3017212927500266</v>
      </c>
    </row>
    <row r="11" spans="1:2" x14ac:dyDescent="0.35">
      <c r="A11" t="s">
        <v>190</v>
      </c>
      <c r="B11">
        <v>1157</v>
      </c>
    </row>
    <row r="12" spans="1:2" x14ac:dyDescent="0.35">
      <c r="A12" t="s">
        <v>191</v>
      </c>
      <c r="B12">
        <v>3</v>
      </c>
    </row>
    <row r="13" spans="1:2" x14ac:dyDescent="0.35">
      <c r="A13" t="s">
        <v>192</v>
      </c>
      <c r="B13">
        <v>1160</v>
      </c>
    </row>
    <row r="14" spans="1:2" x14ac:dyDescent="0.35">
      <c r="A14" t="s">
        <v>193</v>
      </c>
      <c r="B14">
        <v>8487</v>
      </c>
    </row>
    <row r="15" spans="1:2" ht="15" thickBot="1" x14ac:dyDescent="0.4">
      <c r="A15" s="20" t="s">
        <v>194</v>
      </c>
      <c r="B15" s="20">
        <v>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2C438-FDCB-497A-A547-F062515AA973}">
  <dimension ref="A1:C77"/>
  <sheetViews>
    <sheetView workbookViewId="0">
      <selection activeCell="D6" sqref="D6"/>
    </sheetView>
  </sheetViews>
  <sheetFormatPr defaultRowHeight="14.5" x14ac:dyDescent="0.35"/>
  <cols>
    <col min="1" max="1" width="51" bestFit="1" customWidth="1"/>
    <col min="2" max="2" width="19.453125" bestFit="1" customWidth="1"/>
    <col min="3" max="3" width="22.6328125" bestFit="1" customWidth="1"/>
  </cols>
  <sheetData>
    <row r="1" spans="1:3" x14ac:dyDescent="0.35">
      <c r="A1" s="24" t="s">
        <v>195</v>
      </c>
      <c r="B1" s="24" t="s">
        <v>196</v>
      </c>
      <c r="C1" s="24" t="s">
        <v>197</v>
      </c>
    </row>
    <row r="2" spans="1:3" x14ac:dyDescent="0.35">
      <c r="A2" s="21" t="s">
        <v>161</v>
      </c>
      <c r="B2">
        <v>12200</v>
      </c>
      <c r="C2">
        <v>10240.814641530204</v>
      </c>
    </row>
    <row r="3" spans="1:3" x14ac:dyDescent="0.35">
      <c r="A3" s="21" t="s">
        <v>100</v>
      </c>
      <c r="B3">
        <v>17102.142857142859</v>
      </c>
      <c r="C3">
        <v>14653.383774531494</v>
      </c>
    </row>
    <row r="4" spans="1:3" x14ac:dyDescent="0.35">
      <c r="A4" s="21" t="s">
        <v>59</v>
      </c>
      <c r="B4">
        <v>550000</v>
      </c>
      <c r="C4">
        <v>485320.07059201028</v>
      </c>
    </row>
    <row r="5" spans="1:3" x14ac:dyDescent="0.35">
      <c r="A5" s="21" t="s">
        <v>171</v>
      </c>
      <c r="B5">
        <v>115000</v>
      </c>
      <c r="C5">
        <v>105210.81941129673</v>
      </c>
    </row>
    <row r="6" spans="1:3" x14ac:dyDescent="0.35">
      <c r="A6" s="21" t="s">
        <v>118</v>
      </c>
      <c r="B6">
        <v>360000</v>
      </c>
      <c r="C6">
        <v>317647.0588235294</v>
      </c>
    </row>
    <row r="7" spans="1:3" x14ac:dyDescent="0.35">
      <c r="A7" s="21" t="s">
        <v>119</v>
      </c>
      <c r="B7">
        <v>720000</v>
      </c>
      <c r="C7">
        <v>613636.36363636365</v>
      </c>
    </row>
    <row r="8" spans="1:3" x14ac:dyDescent="0.35">
      <c r="A8" s="21" t="s">
        <v>65</v>
      </c>
      <c r="B8">
        <v>23000</v>
      </c>
      <c r="C8">
        <v>19628.942486085343</v>
      </c>
    </row>
    <row r="9" spans="1:3" x14ac:dyDescent="0.35">
      <c r="A9" s="21" t="s">
        <v>71</v>
      </c>
      <c r="B9">
        <v>166920</v>
      </c>
      <c r="C9">
        <v>151388.63260760382</v>
      </c>
    </row>
    <row r="10" spans="1:3" x14ac:dyDescent="0.35">
      <c r="A10" s="21" t="s">
        <v>151</v>
      </c>
      <c r="B10">
        <v>126000</v>
      </c>
      <c r="C10">
        <v>107415.42625169148</v>
      </c>
    </row>
    <row r="11" spans="1:3" x14ac:dyDescent="0.35">
      <c r="A11" s="21" t="s">
        <v>145</v>
      </c>
      <c r="B11">
        <v>150000</v>
      </c>
      <c r="C11">
        <v>135157.99854998078</v>
      </c>
    </row>
    <row r="12" spans="1:3" x14ac:dyDescent="0.35">
      <c r="A12" s="21" t="s">
        <v>156</v>
      </c>
      <c r="B12">
        <v>58000</v>
      </c>
      <c r="C12">
        <v>50291.523396621327</v>
      </c>
    </row>
    <row r="13" spans="1:3" x14ac:dyDescent="0.35">
      <c r="A13" s="21" t="s">
        <v>180</v>
      </c>
      <c r="B13">
        <v>95000</v>
      </c>
      <c r="C13">
        <v>86116.412213740463</v>
      </c>
    </row>
    <row r="14" spans="1:3" x14ac:dyDescent="0.35">
      <c r="A14" s="21" t="s">
        <v>113</v>
      </c>
      <c r="B14">
        <v>25720</v>
      </c>
      <c r="C14">
        <v>22705.126444987505</v>
      </c>
    </row>
    <row r="15" spans="1:3" x14ac:dyDescent="0.35">
      <c r="A15" s="21" t="s">
        <v>121</v>
      </c>
      <c r="B15">
        <v>130000</v>
      </c>
      <c r="C15">
        <v>117852.16178521617</v>
      </c>
    </row>
    <row r="16" spans="1:3" x14ac:dyDescent="0.35">
      <c r="A16" s="21" t="s">
        <v>143</v>
      </c>
      <c r="B16">
        <v>16000</v>
      </c>
      <c r="C16">
        <v>13653.333333333334</v>
      </c>
    </row>
    <row r="17" spans="1:3" x14ac:dyDescent="0.35">
      <c r="A17" s="21" t="s">
        <v>85</v>
      </c>
      <c r="B17">
        <v>53912</v>
      </c>
      <c r="C17">
        <v>47579.026164256371</v>
      </c>
    </row>
    <row r="18" spans="1:3" x14ac:dyDescent="0.35">
      <c r="A18" s="21" t="s">
        <v>40</v>
      </c>
      <c r="B18">
        <v>6600</v>
      </c>
      <c r="C18">
        <v>5791.0130284498809</v>
      </c>
    </row>
    <row r="19" spans="1:3" x14ac:dyDescent="0.35">
      <c r="A19" s="21" t="s">
        <v>158</v>
      </c>
      <c r="B19">
        <v>102000</v>
      </c>
      <c r="C19">
        <v>94179.415225853169</v>
      </c>
    </row>
    <row r="20" spans="1:3" x14ac:dyDescent="0.35">
      <c r="A20" s="21" t="s">
        <v>35</v>
      </c>
      <c r="B20">
        <v>49970</v>
      </c>
      <c r="C20">
        <v>42600.759204285663</v>
      </c>
    </row>
    <row r="21" spans="1:3" x14ac:dyDescent="0.35">
      <c r="A21" s="21" t="s">
        <v>36</v>
      </c>
      <c r="B21">
        <v>49875</v>
      </c>
      <c r="C21">
        <v>47821.894600245112</v>
      </c>
    </row>
    <row r="22" spans="1:3" x14ac:dyDescent="0.35">
      <c r="A22" s="21" t="s">
        <v>43</v>
      </c>
      <c r="B22">
        <v>9500</v>
      </c>
      <c r="C22">
        <v>8061.6346583296126</v>
      </c>
    </row>
    <row r="23" spans="1:3" x14ac:dyDescent="0.35">
      <c r="A23" s="21" t="s">
        <v>140</v>
      </c>
      <c r="B23">
        <v>17780</v>
      </c>
      <c r="C23">
        <v>16136.080116785935</v>
      </c>
    </row>
    <row r="24" spans="1:3" x14ac:dyDescent="0.35">
      <c r="A24" s="21" t="s">
        <v>136</v>
      </c>
      <c r="B24">
        <v>30715</v>
      </c>
      <c r="C24">
        <v>27863.802297540165</v>
      </c>
    </row>
    <row r="25" spans="1:3" x14ac:dyDescent="0.35">
      <c r="A25" s="21" t="s">
        <v>51</v>
      </c>
      <c r="B25">
        <v>249865</v>
      </c>
      <c r="C25">
        <v>212979.95560111621</v>
      </c>
    </row>
    <row r="26" spans="1:3" x14ac:dyDescent="0.35">
      <c r="A26" s="21" t="s">
        <v>60</v>
      </c>
      <c r="B26">
        <v>237526</v>
      </c>
      <c r="C26">
        <v>202448.53501420259</v>
      </c>
    </row>
    <row r="27" spans="1:3" x14ac:dyDescent="0.35">
      <c r="A27" s="21" t="s">
        <v>98</v>
      </c>
      <c r="B27">
        <v>47112</v>
      </c>
      <c r="C27">
        <v>42735.609443521091</v>
      </c>
    </row>
    <row r="28" spans="1:3" x14ac:dyDescent="0.35">
      <c r="A28" s="21" t="s">
        <v>63</v>
      </c>
      <c r="B28">
        <v>68935</v>
      </c>
      <c r="C28">
        <v>60834.136320226949</v>
      </c>
    </row>
    <row r="29" spans="1:3" x14ac:dyDescent="0.35">
      <c r="A29" s="21" t="s">
        <v>62</v>
      </c>
      <c r="B29">
        <v>100470</v>
      </c>
      <c r="C29">
        <v>91077.512539350413</v>
      </c>
    </row>
    <row r="30" spans="1:3" x14ac:dyDescent="0.35">
      <c r="A30" s="21" t="s">
        <v>57</v>
      </c>
      <c r="B30">
        <v>36880</v>
      </c>
      <c r="C30">
        <v>33439.56886887084</v>
      </c>
    </row>
    <row r="31" spans="1:3" x14ac:dyDescent="0.35">
      <c r="A31" s="21" t="s">
        <v>42</v>
      </c>
      <c r="B31">
        <v>60000</v>
      </c>
      <c r="C31">
        <v>56426.332288401245</v>
      </c>
    </row>
    <row r="32" spans="1:3" x14ac:dyDescent="0.35">
      <c r="A32" s="21" t="s">
        <v>69</v>
      </c>
      <c r="B32">
        <v>119447.5</v>
      </c>
      <c r="C32">
        <v>106491.41896759026</v>
      </c>
    </row>
    <row r="33" spans="1:3" x14ac:dyDescent="0.35">
      <c r="A33" s="21" t="s">
        <v>139</v>
      </c>
      <c r="B33">
        <v>27950</v>
      </c>
      <c r="C33">
        <v>23824.412930771578</v>
      </c>
    </row>
    <row r="34" spans="1:3" x14ac:dyDescent="0.35">
      <c r="A34" s="21" t="s">
        <v>90</v>
      </c>
      <c r="B34">
        <v>74000</v>
      </c>
      <c r="C34">
        <v>65314.885496183211</v>
      </c>
    </row>
    <row r="35" spans="1:3" x14ac:dyDescent="0.35">
      <c r="A35" s="21" t="s">
        <v>123</v>
      </c>
      <c r="B35">
        <v>285935</v>
      </c>
      <c r="C35">
        <v>252315.10531591377</v>
      </c>
    </row>
    <row r="36" spans="1:3" x14ac:dyDescent="0.35">
      <c r="A36" s="21" t="s">
        <v>45</v>
      </c>
      <c r="B36">
        <v>9000</v>
      </c>
      <c r="C36">
        <v>8472.8033472803345</v>
      </c>
    </row>
    <row r="37" spans="1:3" x14ac:dyDescent="0.35">
      <c r="A37" s="21" t="s">
        <v>46</v>
      </c>
      <c r="B37">
        <v>10000</v>
      </c>
      <c r="C37">
        <v>9615.3846153846152</v>
      </c>
    </row>
    <row r="38" spans="1:3" x14ac:dyDescent="0.35">
      <c r="A38" s="21" t="s">
        <v>48</v>
      </c>
      <c r="B38">
        <v>10000</v>
      </c>
      <c r="C38">
        <v>8695.652173913044</v>
      </c>
    </row>
    <row r="39" spans="1:3" x14ac:dyDescent="0.35">
      <c r="A39" s="21" t="s">
        <v>47</v>
      </c>
      <c r="B39">
        <v>10000</v>
      </c>
      <c r="C39">
        <v>8547.0085470085469</v>
      </c>
    </row>
    <row r="40" spans="1:3" x14ac:dyDescent="0.35">
      <c r="A40" s="21" t="s">
        <v>49</v>
      </c>
      <c r="B40">
        <v>8000</v>
      </c>
      <c r="C40">
        <v>7025.2469813391881</v>
      </c>
    </row>
    <row r="41" spans="1:3" x14ac:dyDescent="0.35">
      <c r="A41" s="21" t="s">
        <v>169</v>
      </c>
      <c r="B41">
        <v>31912</v>
      </c>
      <c r="C41">
        <v>27233.375692617079</v>
      </c>
    </row>
    <row r="42" spans="1:3" x14ac:dyDescent="0.35">
      <c r="A42" s="21" t="s">
        <v>134</v>
      </c>
      <c r="B42">
        <v>13000</v>
      </c>
      <c r="C42">
        <v>11081.967213114754</v>
      </c>
    </row>
    <row r="43" spans="1:3" x14ac:dyDescent="0.35">
      <c r="A43" s="21" t="s">
        <v>116</v>
      </c>
      <c r="B43">
        <v>12000</v>
      </c>
      <c r="C43">
        <v>10900.832702498108</v>
      </c>
    </row>
    <row r="44" spans="1:3" x14ac:dyDescent="0.35">
      <c r="A44" s="21" t="s">
        <v>111</v>
      </c>
      <c r="B44">
        <v>17957</v>
      </c>
      <c r="C44">
        <v>16292.61629161338</v>
      </c>
    </row>
    <row r="45" spans="1:3" x14ac:dyDescent="0.35">
      <c r="A45" s="21" t="s">
        <v>153</v>
      </c>
      <c r="B45">
        <v>41000</v>
      </c>
      <c r="C45">
        <v>37165.598054388684</v>
      </c>
    </row>
    <row r="46" spans="1:3" x14ac:dyDescent="0.35">
      <c r="A46" s="21" t="s">
        <v>129</v>
      </c>
      <c r="B46">
        <v>75213</v>
      </c>
      <c r="C46">
        <v>66398.934904811293</v>
      </c>
    </row>
    <row r="47" spans="1:3" x14ac:dyDescent="0.35">
      <c r="A47" s="21" t="s">
        <v>26</v>
      </c>
      <c r="B47">
        <v>86500</v>
      </c>
      <c r="C47">
        <v>76357.281355240339</v>
      </c>
    </row>
    <row r="48" spans="1:3" x14ac:dyDescent="0.35">
      <c r="A48" s="21" t="s">
        <v>55</v>
      </c>
      <c r="B48">
        <v>120000</v>
      </c>
      <c r="C48">
        <v>101408.45070422535</v>
      </c>
    </row>
    <row r="49" spans="1:3" x14ac:dyDescent="0.35">
      <c r="A49" s="21" t="s">
        <v>92</v>
      </c>
      <c r="B49">
        <v>64639.555555555555</v>
      </c>
      <c r="C49">
        <v>56079.450264790677</v>
      </c>
    </row>
    <row r="50" spans="1:3" x14ac:dyDescent="0.35">
      <c r="A50" s="21" t="s">
        <v>125</v>
      </c>
      <c r="B50">
        <v>80000</v>
      </c>
      <c r="C50">
        <v>68193.926478423018</v>
      </c>
    </row>
    <row r="51" spans="1:3" x14ac:dyDescent="0.35">
      <c r="A51" s="21" t="s">
        <v>127</v>
      </c>
      <c r="B51">
        <v>113000</v>
      </c>
      <c r="C51">
        <v>102447.04749679076</v>
      </c>
    </row>
    <row r="52" spans="1:3" x14ac:dyDescent="0.35">
      <c r="A52" s="21" t="s">
        <v>166</v>
      </c>
      <c r="B52">
        <v>52000</v>
      </c>
      <c r="C52">
        <v>43222.506393861891</v>
      </c>
    </row>
    <row r="53" spans="1:3" x14ac:dyDescent="0.35">
      <c r="A53" s="21" t="s">
        <v>94</v>
      </c>
      <c r="B53">
        <v>23500</v>
      </c>
      <c r="C53">
        <v>21318.278324647752</v>
      </c>
    </row>
    <row r="54" spans="1:3" x14ac:dyDescent="0.35">
      <c r="A54" s="21" t="s">
        <v>67</v>
      </c>
      <c r="B54">
        <v>960000</v>
      </c>
      <c r="C54">
        <v>870090.63444108749</v>
      </c>
    </row>
    <row r="55" spans="1:3" x14ac:dyDescent="0.35">
      <c r="A55" s="21" t="s">
        <v>181</v>
      </c>
      <c r="B55">
        <v>2175000</v>
      </c>
      <c r="C55">
        <v>1919117.6470588236</v>
      </c>
    </row>
    <row r="56" spans="1:3" x14ac:dyDescent="0.35">
      <c r="A56" s="21" t="s">
        <v>38</v>
      </c>
      <c r="B56">
        <v>120000</v>
      </c>
      <c r="C56">
        <v>106824.92581602374</v>
      </c>
    </row>
    <row r="57" spans="1:3" x14ac:dyDescent="0.35">
      <c r="A57" s="21" t="s">
        <v>81</v>
      </c>
      <c r="B57">
        <v>40000</v>
      </c>
      <c r="C57">
        <v>34115.13859275054</v>
      </c>
    </row>
    <row r="58" spans="1:3" x14ac:dyDescent="0.35">
      <c r="A58" s="21" t="s">
        <v>87</v>
      </c>
      <c r="B58">
        <v>348550</v>
      </c>
      <c r="C58">
        <v>297063.53310837247</v>
      </c>
    </row>
    <row r="59" spans="1:3" x14ac:dyDescent="0.35">
      <c r="A59" s="21" t="s">
        <v>30</v>
      </c>
      <c r="B59">
        <v>466900</v>
      </c>
      <c r="C59">
        <v>435042.82663792936</v>
      </c>
    </row>
    <row r="60" spans="1:3" x14ac:dyDescent="0.35">
      <c r="A60" s="21" t="s">
        <v>24</v>
      </c>
      <c r="B60">
        <v>187923</v>
      </c>
      <c r="C60">
        <v>170354.77360456789</v>
      </c>
    </row>
    <row r="61" spans="1:3" x14ac:dyDescent="0.35">
      <c r="A61" s="21" t="s">
        <v>104</v>
      </c>
      <c r="B61">
        <v>4466</v>
      </c>
      <c r="C61">
        <v>3964.7983524697052</v>
      </c>
    </row>
    <row r="62" spans="1:3" x14ac:dyDescent="0.35">
      <c r="A62" s="21" t="s">
        <v>132</v>
      </c>
      <c r="B62">
        <v>36000</v>
      </c>
      <c r="C62">
        <v>32661.290322580644</v>
      </c>
    </row>
    <row r="63" spans="1:3" x14ac:dyDescent="0.35">
      <c r="A63" s="21" t="s">
        <v>28</v>
      </c>
      <c r="B63">
        <v>47000</v>
      </c>
      <c r="C63">
        <v>40090.744101633398</v>
      </c>
    </row>
    <row r="64" spans="1:3" x14ac:dyDescent="0.35">
      <c r="A64" s="21" t="s">
        <v>83</v>
      </c>
      <c r="B64">
        <v>250000</v>
      </c>
      <c r="C64">
        <v>226613.48803480784</v>
      </c>
    </row>
    <row r="65" spans="1:3" x14ac:dyDescent="0.35">
      <c r="A65" s="21" t="s">
        <v>53</v>
      </c>
      <c r="B65">
        <v>105609</v>
      </c>
      <c r="C65">
        <v>89271.158270387547</v>
      </c>
    </row>
    <row r="66" spans="1:3" x14ac:dyDescent="0.35">
      <c r="A66" s="21" t="s">
        <v>163</v>
      </c>
      <c r="B66">
        <v>33000</v>
      </c>
      <c r="C66">
        <v>29133.226324237559</v>
      </c>
    </row>
    <row r="67" spans="1:3" x14ac:dyDescent="0.35">
      <c r="A67" s="21" t="s">
        <v>56</v>
      </c>
      <c r="B67">
        <v>46485</v>
      </c>
      <c r="C67">
        <v>39625.453403506195</v>
      </c>
    </row>
    <row r="68" spans="1:3" x14ac:dyDescent="0.35">
      <c r="A68" s="21" t="s">
        <v>74</v>
      </c>
      <c r="B68">
        <v>45000</v>
      </c>
      <c r="C68">
        <v>39705.882352941175</v>
      </c>
    </row>
    <row r="69" spans="1:3" x14ac:dyDescent="0.35">
      <c r="A69" s="21" t="s">
        <v>76</v>
      </c>
      <c r="B69">
        <v>90000</v>
      </c>
      <c r="C69">
        <v>76704.545454545456</v>
      </c>
    </row>
    <row r="70" spans="1:3" x14ac:dyDescent="0.35">
      <c r="A70" s="21" t="s">
        <v>109</v>
      </c>
      <c r="B70">
        <v>17000</v>
      </c>
      <c r="C70">
        <v>14522.613065326635</v>
      </c>
    </row>
    <row r="71" spans="1:3" x14ac:dyDescent="0.35">
      <c r="A71" s="21" t="s">
        <v>88</v>
      </c>
      <c r="B71">
        <v>51000</v>
      </c>
      <c r="C71">
        <v>46256.446736617465</v>
      </c>
    </row>
    <row r="72" spans="1:3" x14ac:dyDescent="0.35">
      <c r="A72" s="21" t="s">
        <v>78</v>
      </c>
      <c r="B72">
        <v>15000</v>
      </c>
      <c r="C72">
        <v>13595.166163141992</v>
      </c>
    </row>
    <row r="73" spans="1:3" x14ac:dyDescent="0.35">
      <c r="A73" s="21" t="s">
        <v>31</v>
      </c>
      <c r="B73">
        <v>1120000</v>
      </c>
      <c r="C73">
        <v>1053321.0177176925</v>
      </c>
    </row>
    <row r="74" spans="1:3" x14ac:dyDescent="0.35">
      <c r="A74" s="21" t="s">
        <v>33</v>
      </c>
      <c r="B74">
        <v>1130000</v>
      </c>
      <c r="C74">
        <v>963080.28811705695</v>
      </c>
    </row>
    <row r="75" spans="1:3" x14ac:dyDescent="0.35">
      <c r="A75" s="21" t="s">
        <v>20</v>
      </c>
      <c r="B75">
        <v>152794</v>
      </c>
      <c r="C75">
        <v>130240.67928646023</v>
      </c>
    </row>
    <row r="76" spans="1:3" x14ac:dyDescent="0.35">
      <c r="A76" s="21" t="s">
        <v>80</v>
      </c>
      <c r="B76">
        <v>178000</v>
      </c>
      <c r="C76">
        <v>157061.41872800278</v>
      </c>
    </row>
    <row r="77" spans="1:3" x14ac:dyDescent="0.35">
      <c r="A77" s="25" t="s">
        <v>198</v>
      </c>
      <c r="B77" s="24">
        <v>150637.33333333334</v>
      </c>
      <c r="C77" s="24">
        <v>133860.94668621782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15CAF-D10B-49AC-AAD4-0815059F5AF9}">
  <dimension ref="A1:C9"/>
  <sheetViews>
    <sheetView tabSelected="1" workbookViewId="0">
      <selection activeCell="O23" sqref="O23"/>
    </sheetView>
  </sheetViews>
  <sheetFormatPr defaultRowHeight="14.5" x14ac:dyDescent="0.35"/>
  <cols>
    <col min="1" max="1" width="12.453125" bestFit="1" customWidth="1"/>
    <col min="2" max="2" width="19.453125" bestFit="1" customWidth="1"/>
    <col min="3" max="3" width="28.6328125" bestFit="1" customWidth="1"/>
  </cols>
  <sheetData>
    <row r="1" spans="1:3" x14ac:dyDescent="0.35">
      <c r="A1" s="24" t="s">
        <v>195</v>
      </c>
      <c r="B1" s="24" t="s">
        <v>196</v>
      </c>
      <c r="C1" s="24" t="s">
        <v>199</v>
      </c>
    </row>
    <row r="2" spans="1:3" x14ac:dyDescent="0.35">
      <c r="A2" s="21" t="s">
        <v>200</v>
      </c>
      <c r="B2">
        <v>101245.28571428571</v>
      </c>
      <c r="C2">
        <v>100.42857142857143</v>
      </c>
    </row>
    <row r="3" spans="1:3" x14ac:dyDescent="0.35">
      <c r="A3" s="21" t="s">
        <v>201</v>
      </c>
      <c r="B3">
        <v>400535.25</v>
      </c>
      <c r="C3">
        <v>129.75</v>
      </c>
    </row>
    <row r="4" spans="1:3" x14ac:dyDescent="0.35">
      <c r="A4" s="21" t="s">
        <v>202</v>
      </c>
      <c r="B4">
        <v>59315.954545454544</v>
      </c>
      <c r="C4">
        <v>28.727272727272727</v>
      </c>
    </row>
    <row r="5" spans="1:3" x14ac:dyDescent="0.35">
      <c r="A5" s="21" t="s">
        <v>203</v>
      </c>
      <c r="B5">
        <v>139207.14285714287</v>
      </c>
      <c r="C5">
        <v>61.785714285714285</v>
      </c>
    </row>
    <row r="6" spans="1:3" x14ac:dyDescent="0.35">
      <c r="A6" s="21" t="s">
        <v>204</v>
      </c>
      <c r="B6">
        <v>119924.46153846153</v>
      </c>
      <c r="C6">
        <v>66.769230769230774</v>
      </c>
    </row>
    <row r="7" spans="1:3" x14ac:dyDescent="0.35">
      <c r="A7" s="21" t="s">
        <v>205</v>
      </c>
      <c r="B7">
        <v>87055.607142857145</v>
      </c>
      <c r="C7">
        <v>14.107142857142858</v>
      </c>
    </row>
    <row r="8" spans="1:3" x14ac:dyDescent="0.35">
      <c r="A8" s="21" t="s">
        <v>206</v>
      </c>
      <c r="B8">
        <v>357961.15384615387</v>
      </c>
      <c r="C8">
        <v>53.07692307692308</v>
      </c>
    </row>
    <row r="9" spans="1:3" x14ac:dyDescent="0.35">
      <c r="A9" s="25" t="s">
        <v>198</v>
      </c>
      <c r="B9" s="24">
        <v>150637.33333333334</v>
      </c>
      <c r="C9" s="24">
        <v>49.438095238095237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9B67D-72E5-483F-8886-B6CFE9FF8D11}">
  <dimension ref="A3:D79"/>
  <sheetViews>
    <sheetView workbookViewId="0">
      <selection activeCell="E30" sqref="E30"/>
    </sheetView>
  </sheetViews>
  <sheetFormatPr defaultRowHeight="14.5" x14ac:dyDescent="0.35"/>
  <cols>
    <col min="1" max="1" width="51" bestFit="1" customWidth="1"/>
    <col min="2" max="2" width="15.54296875" bestFit="1" customWidth="1"/>
    <col min="3" max="3" width="16.6328125" bestFit="1" customWidth="1"/>
    <col min="4" max="5" width="25.90625" bestFit="1" customWidth="1"/>
  </cols>
  <sheetData>
    <row r="3" spans="1:4" x14ac:dyDescent="0.35">
      <c r="A3" s="22" t="s">
        <v>195</v>
      </c>
      <c r="B3" t="s">
        <v>207</v>
      </c>
      <c r="C3" t="s">
        <v>209</v>
      </c>
      <c r="D3" t="s">
        <v>208</v>
      </c>
    </row>
    <row r="4" spans="1:4" x14ac:dyDescent="0.35">
      <c r="A4" s="21" t="s">
        <v>161</v>
      </c>
      <c r="B4" s="23">
        <v>250</v>
      </c>
      <c r="C4">
        <v>12200</v>
      </c>
      <c r="D4">
        <v>2</v>
      </c>
    </row>
    <row r="5" spans="1:4" x14ac:dyDescent="0.35">
      <c r="A5" s="21" t="s">
        <v>100</v>
      </c>
      <c r="B5" s="23">
        <v>3390</v>
      </c>
      <c r="C5">
        <v>119715</v>
      </c>
      <c r="D5">
        <v>53</v>
      </c>
    </row>
    <row r="6" spans="1:4" x14ac:dyDescent="0.35">
      <c r="A6" s="21" t="s">
        <v>59</v>
      </c>
      <c r="B6" s="23">
        <v>800</v>
      </c>
      <c r="C6">
        <v>550000</v>
      </c>
      <c r="D6">
        <v>120</v>
      </c>
    </row>
    <row r="7" spans="1:4" x14ac:dyDescent="0.35">
      <c r="A7" s="21" t="s">
        <v>171</v>
      </c>
      <c r="B7" s="23">
        <v>0</v>
      </c>
      <c r="C7">
        <v>115000</v>
      </c>
      <c r="D7">
        <v>13</v>
      </c>
    </row>
    <row r="8" spans="1:4" x14ac:dyDescent="0.35">
      <c r="A8" s="21" t="s">
        <v>118</v>
      </c>
      <c r="B8" s="23">
        <v>0</v>
      </c>
      <c r="C8">
        <v>360000</v>
      </c>
      <c r="D8">
        <v>30</v>
      </c>
    </row>
    <row r="9" spans="1:4" x14ac:dyDescent="0.35">
      <c r="A9" s="21" t="s">
        <v>119</v>
      </c>
      <c r="B9" s="23">
        <v>0</v>
      </c>
      <c r="C9">
        <v>720000</v>
      </c>
      <c r="D9">
        <v>61</v>
      </c>
    </row>
    <row r="10" spans="1:4" x14ac:dyDescent="0.35">
      <c r="A10" s="21" t="s">
        <v>65</v>
      </c>
      <c r="B10" s="23">
        <v>700</v>
      </c>
      <c r="C10">
        <v>23000</v>
      </c>
      <c r="D10">
        <v>47</v>
      </c>
    </row>
    <row r="11" spans="1:4" x14ac:dyDescent="0.35">
      <c r="A11" s="21" t="s">
        <v>71</v>
      </c>
      <c r="B11" s="23">
        <v>19165</v>
      </c>
      <c r="C11">
        <v>2503800</v>
      </c>
      <c r="D11">
        <v>312</v>
      </c>
    </row>
    <row r="12" spans="1:4" x14ac:dyDescent="0.35">
      <c r="A12" s="21" t="s">
        <v>151</v>
      </c>
      <c r="B12" s="23">
        <v>0</v>
      </c>
      <c r="C12">
        <v>126000</v>
      </c>
      <c r="D12">
        <v>13</v>
      </c>
    </row>
    <row r="13" spans="1:4" x14ac:dyDescent="0.35">
      <c r="A13" s="21" t="s">
        <v>145</v>
      </c>
      <c r="B13" s="23">
        <v>2560</v>
      </c>
      <c r="C13">
        <v>300000</v>
      </c>
      <c r="D13">
        <v>30</v>
      </c>
    </row>
    <row r="14" spans="1:4" x14ac:dyDescent="0.35">
      <c r="A14" s="21" t="s">
        <v>156</v>
      </c>
      <c r="B14" s="23">
        <v>666</v>
      </c>
      <c r="C14">
        <v>58000</v>
      </c>
      <c r="D14">
        <v>15</v>
      </c>
    </row>
    <row r="15" spans="1:4" x14ac:dyDescent="0.35">
      <c r="A15" s="21" t="s">
        <v>180</v>
      </c>
      <c r="B15" s="23">
        <v>1050</v>
      </c>
      <c r="C15">
        <v>95000</v>
      </c>
      <c r="D15">
        <v>11</v>
      </c>
    </row>
    <row r="16" spans="1:4" x14ac:dyDescent="0.35">
      <c r="A16" s="21" t="s">
        <v>113</v>
      </c>
      <c r="B16" s="23">
        <v>2100</v>
      </c>
      <c r="C16">
        <v>25720</v>
      </c>
      <c r="D16">
        <v>4</v>
      </c>
    </row>
    <row r="17" spans="1:4" x14ac:dyDescent="0.35">
      <c r="A17" s="21" t="s">
        <v>121</v>
      </c>
      <c r="B17" s="23">
        <v>700</v>
      </c>
      <c r="C17">
        <v>130000</v>
      </c>
      <c r="D17">
        <v>11</v>
      </c>
    </row>
    <row r="18" spans="1:4" x14ac:dyDescent="0.35">
      <c r="A18" s="21" t="s">
        <v>143</v>
      </c>
      <c r="B18" s="23">
        <v>200</v>
      </c>
      <c r="C18">
        <v>16000</v>
      </c>
      <c r="D18">
        <v>12</v>
      </c>
    </row>
    <row r="19" spans="1:4" x14ac:dyDescent="0.35">
      <c r="A19" s="21" t="s">
        <v>85</v>
      </c>
      <c r="B19" s="23">
        <v>2150</v>
      </c>
      <c r="C19">
        <v>53912</v>
      </c>
      <c r="D19">
        <v>46</v>
      </c>
    </row>
    <row r="20" spans="1:4" x14ac:dyDescent="0.35">
      <c r="A20" s="21" t="s">
        <v>40</v>
      </c>
      <c r="B20" s="23">
        <v>60</v>
      </c>
      <c r="C20">
        <v>6600</v>
      </c>
      <c r="D20">
        <v>12</v>
      </c>
    </row>
    <row r="21" spans="1:4" x14ac:dyDescent="0.35">
      <c r="A21" s="21" t="s">
        <v>158</v>
      </c>
      <c r="B21" s="23">
        <v>1030</v>
      </c>
      <c r="C21">
        <v>102000</v>
      </c>
      <c r="D21">
        <v>12</v>
      </c>
    </row>
    <row r="22" spans="1:4" x14ac:dyDescent="0.35">
      <c r="A22" s="21" t="s">
        <v>35</v>
      </c>
      <c r="B22" s="23">
        <v>216</v>
      </c>
      <c r="C22">
        <v>49970</v>
      </c>
      <c r="D22">
        <v>90</v>
      </c>
    </row>
    <row r="23" spans="1:4" x14ac:dyDescent="0.35">
      <c r="A23" s="21" t="s">
        <v>36</v>
      </c>
      <c r="B23" s="23">
        <v>252</v>
      </c>
      <c r="C23">
        <v>49875</v>
      </c>
      <c r="D23">
        <v>98</v>
      </c>
    </row>
    <row r="24" spans="1:4" x14ac:dyDescent="0.35">
      <c r="A24" s="21" t="s">
        <v>43</v>
      </c>
      <c r="B24" s="23">
        <v>324</v>
      </c>
      <c r="C24">
        <v>9500</v>
      </c>
      <c r="D24">
        <v>40</v>
      </c>
    </row>
    <row r="25" spans="1:4" x14ac:dyDescent="0.35">
      <c r="A25" s="21" t="s">
        <v>140</v>
      </c>
      <c r="B25" s="23">
        <v>0</v>
      </c>
      <c r="C25">
        <v>17780</v>
      </c>
      <c r="D25">
        <v>7</v>
      </c>
    </row>
    <row r="26" spans="1:4" x14ac:dyDescent="0.35">
      <c r="A26" s="21" t="s">
        <v>136</v>
      </c>
      <c r="B26" s="23">
        <v>0</v>
      </c>
      <c r="C26">
        <v>30715</v>
      </c>
      <c r="D26">
        <v>3</v>
      </c>
    </row>
    <row r="27" spans="1:4" x14ac:dyDescent="0.35">
      <c r="A27" s="21" t="s">
        <v>51</v>
      </c>
      <c r="B27" s="23">
        <v>180</v>
      </c>
      <c r="C27">
        <v>249865</v>
      </c>
      <c r="D27">
        <v>182</v>
      </c>
    </row>
    <row r="28" spans="1:4" x14ac:dyDescent="0.35">
      <c r="A28" s="21" t="s">
        <v>60</v>
      </c>
      <c r="B28" s="23">
        <v>2400</v>
      </c>
      <c r="C28">
        <v>237526</v>
      </c>
      <c r="D28">
        <v>151</v>
      </c>
    </row>
    <row r="29" spans="1:4" x14ac:dyDescent="0.35">
      <c r="A29" s="21" t="s">
        <v>98</v>
      </c>
      <c r="B29" s="23">
        <v>860</v>
      </c>
      <c r="C29">
        <v>47112</v>
      </c>
      <c r="D29">
        <v>9</v>
      </c>
    </row>
    <row r="30" spans="1:4" x14ac:dyDescent="0.35">
      <c r="A30" s="21" t="s">
        <v>63</v>
      </c>
      <c r="B30" s="23">
        <v>1000</v>
      </c>
      <c r="C30">
        <v>68935</v>
      </c>
      <c r="D30">
        <v>91</v>
      </c>
    </row>
    <row r="31" spans="1:4" x14ac:dyDescent="0.35">
      <c r="A31" s="21" t="s">
        <v>62</v>
      </c>
      <c r="B31" s="23">
        <v>2100</v>
      </c>
      <c r="C31">
        <v>100470</v>
      </c>
      <c r="D31">
        <v>90</v>
      </c>
    </row>
    <row r="32" spans="1:4" x14ac:dyDescent="0.35">
      <c r="A32" s="21" t="s">
        <v>57</v>
      </c>
      <c r="B32" s="23">
        <v>430</v>
      </c>
      <c r="C32">
        <v>36880</v>
      </c>
      <c r="D32">
        <v>90</v>
      </c>
    </row>
    <row r="33" spans="1:4" x14ac:dyDescent="0.35">
      <c r="A33" s="21" t="s">
        <v>42</v>
      </c>
      <c r="B33" s="23">
        <v>524</v>
      </c>
      <c r="C33">
        <v>60000</v>
      </c>
      <c r="D33">
        <v>251</v>
      </c>
    </row>
    <row r="34" spans="1:4" x14ac:dyDescent="0.35">
      <c r="A34" s="21" t="s">
        <v>69</v>
      </c>
      <c r="B34" s="23">
        <v>51100</v>
      </c>
      <c r="C34">
        <v>238895</v>
      </c>
      <c r="D34">
        <v>219</v>
      </c>
    </row>
    <row r="35" spans="1:4" x14ac:dyDescent="0.35">
      <c r="A35" s="21" t="s">
        <v>139</v>
      </c>
      <c r="B35" s="23">
        <v>0</v>
      </c>
      <c r="C35">
        <v>27950</v>
      </c>
      <c r="D35">
        <v>5</v>
      </c>
    </row>
    <row r="36" spans="1:4" x14ac:dyDescent="0.35">
      <c r="A36" s="21" t="s">
        <v>90</v>
      </c>
      <c r="B36" s="23">
        <v>870</v>
      </c>
      <c r="C36">
        <v>74000</v>
      </c>
      <c r="D36">
        <v>7</v>
      </c>
    </row>
    <row r="37" spans="1:4" x14ac:dyDescent="0.35">
      <c r="A37" s="21" t="s">
        <v>123</v>
      </c>
      <c r="B37" s="23">
        <v>11000</v>
      </c>
      <c r="C37">
        <v>285935</v>
      </c>
      <c r="D37">
        <v>32</v>
      </c>
    </row>
    <row r="38" spans="1:4" x14ac:dyDescent="0.35">
      <c r="A38" s="21" t="s">
        <v>45</v>
      </c>
      <c r="B38" s="23">
        <v>150</v>
      </c>
      <c r="C38">
        <v>9000</v>
      </c>
      <c r="D38">
        <v>48</v>
      </c>
    </row>
    <row r="39" spans="1:4" x14ac:dyDescent="0.35">
      <c r="A39" s="21" t="s">
        <v>46</v>
      </c>
      <c r="B39" s="23">
        <v>180</v>
      </c>
      <c r="C39">
        <v>10000</v>
      </c>
      <c r="D39">
        <v>45</v>
      </c>
    </row>
    <row r="40" spans="1:4" x14ac:dyDescent="0.35">
      <c r="A40" s="21" t="s">
        <v>48</v>
      </c>
      <c r="B40" s="23">
        <v>180</v>
      </c>
      <c r="C40">
        <v>10000</v>
      </c>
      <c r="D40">
        <v>45</v>
      </c>
    </row>
    <row r="41" spans="1:4" x14ac:dyDescent="0.35">
      <c r="A41" s="21" t="s">
        <v>47</v>
      </c>
      <c r="B41" s="23">
        <v>180</v>
      </c>
      <c r="C41">
        <v>10000</v>
      </c>
      <c r="D41">
        <v>46</v>
      </c>
    </row>
    <row r="42" spans="1:4" x14ac:dyDescent="0.35">
      <c r="A42" s="21" t="s">
        <v>49</v>
      </c>
      <c r="B42" s="23">
        <v>180</v>
      </c>
      <c r="C42">
        <v>8000</v>
      </c>
      <c r="D42">
        <v>53</v>
      </c>
    </row>
    <row r="43" spans="1:4" x14ac:dyDescent="0.35">
      <c r="A43" s="21" t="s">
        <v>169</v>
      </c>
      <c r="B43" s="23">
        <v>250</v>
      </c>
      <c r="C43">
        <v>31912</v>
      </c>
      <c r="D43">
        <v>13</v>
      </c>
    </row>
    <row r="44" spans="1:4" x14ac:dyDescent="0.35">
      <c r="A44" s="21" t="s">
        <v>134</v>
      </c>
      <c r="B44" s="23">
        <v>130</v>
      </c>
      <c r="C44">
        <v>13000</v>
      </c>
      <c r="D44">
        <v>3</v>
      </c>
    </row>
    <row r="45" spans="1:4" x14ac:dyDescent="0.35">
      <c r="A45" s="21" t="s">
        <v>116</v>
      </c>
      <c r="B45" s="23">
        <v>100</v>
      </c>
      <c r="C45">
        <v>12000</v>
      </c>
      <c r="D45">
        <v>4</v>
      </c>
    </row>
    <row r="46" spans="1:4" x14ac:dyDescent="0.35">
      <c r="A46" s="21" t="s">
        <v>111</v>
      </c>
      <c r="B46" s="23">
        <v>856</v>
      </c>
      <c r="C46">
        <v>17957</v>
      </c>
      <c r="D46">
        <v>7</v>
      </c>
    </row>
    <row r="47" spans="1:4" x14ac:dyDescent="0.35">
      <c r="A47" s="21" t="s">
        <v>153</v>
      </c>
      <c r="B47" s="23">
        <v>700</v>
      </c>
      <c r="C47">
        <v>41000</v>
      </c>
      <c r="D47">
        <v>9</v>
      </c>
    </row>
    <row r="48" spans="1:4" x14ac:dyDescent="0.35">
      <c r="A48" s="21" t="s">
        <v>129</v>
      </c>
      <c r="B48" s="23">
        <v>935</v>
      </c>
      <c r="C48">
        <v>75213</v>
      </c>
      <c r="D48">
        <v>8</v>
      </c>
    </row>
    <row r="49" spans="1:4" x14ac:dyDescent="0.35">
      <c r="A49" s="21" t="s">
        <v>26</v>
      </c>
      <c r="B49" s="23">
        <v>1200</v>
      </c>
      <c r="C49">
        <v>86500</v>
      </c>
      <c r="D49">
        <v>121</v>
      </c>
    </row>
    <row r="50" spans="1:4" x14ac:dyDescent="0.35">
      <c r="A50" s="21" t="s">
        <v>55</v>
      </c>
      <c r="B50" s="23">
        <v>1620</v>
      </c>
      <c r="C50">
        <v>120000</v>
      </c>
      <c r="D50">
        <v>91</v>
      </c>
    </row>
    <row r="51" spans="1:4" x14ac:dyDescent="0.35">
      <c r="A51" s="21" t="s">
        <v>92</v>
      </c>
      <c r="B51" s="23">
        <v>11500</v>
      </c>
      <c r="C51">
        <v>581756</v>
      </c>
      <c r="D51">
        <v>85</v>
      </c>
    </row>
    <row r="52" spans="1:4" x14ac:dyDescent="0.35">
      <c r="A52" s="21" t="s">
        <v>125</v>
      </c>
      <c r="B52" s="23">
        <v>1230</v>
      </c>
      <c r="C52">
        <v>80000</v>
      </c>
      <c r="D52">
        <v>9</v>
      </c>
    </row>
    <row r="53" spans="1:4" x14ac:dyDescent="0.35">
      <c r="A53" s="21" t="s">
        <v>127</v>
      </c>
      <c r="B53" s="23">
        <v>2100</v>
      </c>
      <c r="C53">
        <v>113000</v>
      </c>
      <c r="D53">
        <v>15</v>
      </c>
    </row>
    <row r="54" spans="1:4" x14ac:dyDescent="0.35">
      <c r="A54" s="21" t="s">
        <v>166</v>
      </c>
      <c r="B54" s="23">
        <v>320</v>
      </c>
      <c r="C54">
        <v>52000</v>
      </c>
      <c r="D54">
        <v>10</v>
      </c>
    </row>
    <row r="55" spans="1:4" x14ac:dyDescent="0.35">
      <c r="A55" s="21" t="s">
        <v>94</v>
      </c>
      <c r="B55" s="23">
        <v>0</v>
      </c>
      <c r="C55">
        <v>23500</v>
      </c>
      <c r="D55">
        <v>2</v>
      </c>
    </row>
    <row r="56" spans="1:4" x14ac:dyDescent="0.35">
      <c r="A56" s="21" t="s">
        <v>67</v>
      </c>
      <c r="B56" s="23">
        <v>17100</v>
      </c>
      <c r="C56">
        <v>960000</v>
      </c>
      <c r="D56">
        <v>125</v>
      </c>
    </row>
    <row r="57" spans="1:4" x14ac:dyDescent="0.35">
      <c r="A57" s="21" t="s">
        <v>181</v>
      </c>
      <c r="B57" s="23">
        <v>9320</v>
      </c>
      <c r="C57">
        <v>2175000</v>
      </c>
      <c r="D57">
        <v>182</v>
      </c>
    </row>
    <row r="58" spans="1:4" x14ac:dyDescent="0.35">
      <c r="A58" s="21" t="s">
        <v>38</v>
      </c>
      <c r="B58" s="23">
        <v>1200</v>
      </c>
      <c r="C58">
        <v>120000</v>
      </c>
      <c r="D58">
        <v>122</v>
      </c>
    </row>
    <row r="59" spans="1:4" x14ac:dyDescent="0.35">
      <c r="A59" s="21" t="s">
        <v>81</v>
      </c>
      <c r="B59" s="23">
        <v>384</v>
      </c>
      <c r="C59">
        <v>40000</v>
      </c>
      <c r="D59">
        <v>62</v>
      </c>
    </row>
    <row r="60" spans="1:4" x14ac:dyDescent="0.35">
      <c r="A60" s="21" t="s">
        <v>87</v>
      </c>
      <c r="B60" s="23">
        <v>1600</v>
      </c>
      <c r="C60">
        <v>348550</v>
      </c>
      <c r="D60">
        <v>190</v>
      </c>
    </row>
    <row r="61" spans="1:4" x14ac:dyDescent="0.35">
      <c r="A61" s="21" t="s">
        <v>30</v>
      </c>
      <c r="B61" s="23">
        <v>10000</v>
      </c>
      <c r="C61">
        <v>466900</v>
      </c>
      <c r="D61">
        <v>183</v>
      </c>
    </row>
    <row r="62" spans="1:4" x14ac:dyDescent="0.35">
      <c r="A62" s="21" t="s">
        <v>24</v>
      </c>
      <c r="B62" s="23">
        <v>500</v>
      </c>
      <c r="C62">
        <v>187923</v>
      </c>
      <c r="D62">
        <v>185</v>
      </c>
    </row>
    <row r="63" spans="1:4" x14ac:dyDescent="0.35">
      <c r="A63" s="21" t="s">
        <v>104</v>
      </c>
      <c r="B63" s="23">
        <v>0</v>
      </c>
      <c r="C63">
        <v>4466</v>
      </c>
      <c r="D63">
        <v>1</v>
      </c>
    </row>
    <row r="64" spans="1:4" x14ac:dyDescent="0.35">
      <c r="A64" s="21" t="s">
        <v>132</v>
      </c>
      <c r="B64" s="23">
        <v>0</v>
      </c>
      <c r="C64">
        <v>36000</v>
      </c>
      <c r="D64">
        <v>6</v>
      </c>
    </row>
    <row r="65" spans="1:4" x14ac:dyDescent="0.35">
      <c r="A65" s="21" t="s">
        <v>28</v>
      </c>
      <c r="B65" s="23">
        <v>560</v>
      </c>
      <c r="C65">
        <v>47000</v>
      </c>
      <c r="D65">
        <v>100</v>
      </c>
    </row>
    <row r="66" spans="1:4" x14ac:dyDescent="0.35">
      <c r="A66" s="21" t="s">
        <v>83</v>
      </c>
      <c r="B66" s="23">
        <v>2430</v>
      </c>
      <c r="C66">
        <v>250000</v>
      </c>
      <c r="D66">
        <v>17</v>
      </c>
    </row>
    <row r="67" spans="1:4" x14ac:dyDescent="0.35">
      <c r="A67" s="21" t="s">
        <v>53</v>
      </c>
      <c r="B67" s="23">
        <v>980</v>
      </c>
      <c r="C67">
        <v>105609</v>
      </c>
      <c r="D67">
        <v>125</v>
      </c>
    </row>
    <row r="68" spans="1:4" x14ac:dyDescent="0.35">
      <c r="A68" s="21" t="s">
        <v>163</v>
      </c>
      <c r="B68" s="23">
        <v>300</v>
      </c>
      <c r="C68">
        <v>33000</v>
      </c>
      <c r="D68">
        <v>11</v>
      </c>
    </row>
    <row r="69" spans="1:4" x14ac:dyDescent="0.35">
      <c r="A69" s="21" t="s">
        <v>56</v>
      </c>
      <c r="B69" s="23">
        <v>860</v>
      </c>
      <c r="C69">
        <v>46485</v>
      </c>
      <c r="D69">
        <v>65</v>
      </c>
    </row>
    <row r="70" spans="1:4" x14ac:dyDescent="0.35">
      <c r="A70" s="21" t="s">
        <v>74</v>
      </c>
      <c r="B70" s="23">
        <v>730</v>
      </c>
      <c r="C70">
        <v>45000</v>
      </c>
      <c r="D70">
        <v>90</v>
      </c>
    </row>
    <row r="71" spans="1:4" x14ac:dyDescent="0.35">
      <c r="A71" s="21" t="s">
        <v>76</v>
      </c>
      <c r="B71" s="23">
        <v>623</v>
      </c>
      <c r="C71">
        <v>90000</v>
      </c>
      <c r="D71">
        <v>61</v>
      </c>
    </row>
    <row r="72" spans="1:4" x14ac:dyDescent="0.35">
      <c r="A72" s="21" t="s">
        <v>109</v>
      </c>
      <c r="B72" s="23">
        <v>0</v>
      </c>
      <c r="C72">
        <v>17000</v>
      </c>
      <c r="D72">
        <v>4</v>
      </c>
    </row>
    <row r="73" spans="1:4" x14ac:dyDescent="0.35">
      <c r="A73" s="21" t="s">
        <v>88</v>
      </c>
      <c r="B73" s="23">
        <v>840</v>
      </c>
      <c r="C73">
        <v>51000</v>
      </c>
      <c r="D73">
        <v>93</v>
      </c>
    </row>
    <row r="74" spans="1:4" x14ac:dyDescent="0.35">
      <c r="A74" s="21" t="s">
        <v>78</v>
      </c>
      <c r="B74" s="23">
        <v>1050</v>
      </c>
      <c r="C74">
        <v>15000</v>
      </c>
      <c r="D74">
        <v>85</v>
      </c>
    </row>
    <row r="75" spans="1:4" x14ac:dyDescent="0.35">
      <c r="A75" s="21" t="s">
        <v>31</v>
      </c>
      <c r="B75" s="23">
        <v>9800</v>
      </c>
      <c r="C75">
        <v>1120000</v>
      </c>
      <c r="D75">
        <v>240</v>
      </c>
    </row>
    <row r="76" spans="1:4" x14ac:dyDescent="0.35">
      <c r="A76" s="21" t="s">
        <v>33</v>
      </c>
      <c r="B76" s="23">
        <v>10300</v>
      </c>
      <c r="C76">
        <v>1130000</v>
      </c>
      <c r="D76">
        <v>241</v>
      </c>
    </row>
    <row r="77" spans="1:4" x14ac:dyDescent="0.35">
      <c r="A77" s="21" t="s">
        <v>20</v>
      </c>
      <c r="B77" s="23">
        <v>700</v>
      </c>
      <c r="C77">
        <v>152794</v>
      </c>
      <c r="D77">
        <v>92</v>
      </c>
    </row>
    <row r="78" spans="1:4" x14ac:dyDescent="0.35">
      <c r="A78" s="21" t="s">
        <v>80</v>
      </c>
      <c r="B78" s="23">
        <v>1200</v>
      </c>
      <c r="C78">
        <v>178000</v>
      </c>
      <c r="D78">
        <v>128</v>
      </c>
    </row>
    <row r="79" spans="1:4" x14ac:dyDescent="0.35">
      <c r="A79" s="21" t="s">
        <v>198</v>
      </c>
      <c r="B79" s="23">
        <v>198365</v>
      </c>
      <c r="C79">
        <v>15816920</v>
      </c>
      <c r="D79">
        <v>5191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Financial Analysis</vt:lpstr>
      <vt:lpstr>Schedule Performance</vt:lpstr>
      <vt:lpstr>Resource Utilization</vt:lpstr>
      <vt:lpstr>Actual Cost Vs Estimated Cost</vt:lpstr>
      <vt:lpstr>Yearly Trends</vt:lpstr>
      <vt:lpstr>Area Vs Cost Vs Duartion 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مريم لؤي محمد الحسيني</dc:creator>
  <cp:lastModifiedBy>مريم لؤي محمد الحسيني</cp:lastModifiedBy>
  <dcterms:created xsi:type="dcterms:W3CDTF">2025-08-19T14:50:36Z</dcterms:created>
  <dcterms:modified xsi:type="dcterms:W3CDTF">2025-08-22T11:55:52Z</dcterms:modified>
</cp:coreProperties>
</file>